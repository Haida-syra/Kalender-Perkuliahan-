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4"/>
    <sheet state="visible" name="DATABASE" sheetId="2" r:id="rId5"/>
    <sheet state="visible" name="KALENDER" sheetId="3" r:id="rId6"/>
    <sheet state="visible" name="MATA KULIAH" sheetId="4" r:id="rId7"/>
    <sheet state="visible" name="GRAPH" sheetId="5" r:id="rId8"/>
  </sheets>
  <definedNames>
    <definedName name="NativeTimeline_Deadline">#REF!</definedName>
  </definedNames>
  <calcPr/>
</workbook>
</file>

<file path=xl/sharedStrings.xml><?xml version="1.0" encoding="utf-8"?>
<sst xmlns="http://schemas.openxmlformats.org/spreadsheetml/2006/main" count="245" uniqueCount="133">
  <si>
    <t>KALENDER PERKULIAHAN</t>
  </si>
  <si>
    <t>HOME</t>
  </si>
  <si>
    <t>DATABASE</t>
  </si>
  <si>
    <t>KALENDER</t>
  </si>
  <si>
    <t>GRAPH</t>
  </si>
  <si>
    <t>MATA KULIAH</t>
  </si>
  <si>
    <t>Jadwal Mata Kuliah Hari Ini</t>
  </si>
  <si>
    <t>Tugas/ Kegiatan terdekat</t>
  </si>
  <si>
    <t>Jadwal Semester 1</t>
  </si>
  <si>
    <t>Kehadiran Semester 1</t>
  </si>
  <si>
    <t>Nilai Semester 1</t>
  </si>
  <si>
    <t>Hari</t>
  </si>
  <si>
    <t>Mata Kuliah</t>
  </si>
  <si>
    <t>SKS</t>
  </si>
  <si>
    <t>Jam</t>
  </si>
  <si>
    <t>Ruangan</t>
  </si>
  <si>
    <t>Kehadiran</t>
  </si>
  <si>
    <t>Total Pertemuan</t>
  </si>
  <si>
    <t>Pertemuan Berjalan</t>
  </si>
  <si>
    <t>Tanggal</t>
  </si>
  <si>
    <t>Status</t>
  </si>
  <si>
    <t>Tugas 1</t>
  </si>
  <si>
    <t>Quiz 1</t>
  </si>
  <si>
    <t>UTS</t>
  </si>
  <si>
    <t>Tugas 2</t>
  </si>
  <si>
    <t>Quiz 2</t>
  </si>
  <si>
    <t>UAS</t>
  </si>
  <si>
    <t>Senin</t>
  </si>
  <si>
    <t>Literasi Digital</t>
  </si>
  <si>
    <t>07.00-08.40</t>
  </si>
  <si>
    <t>Online</t>
  </si>
  <si>
    <t>Arsitektur Komputer dan Sistem Operasi</t>
  </si>
  <si>
    <t>Izin</t>
  </si>
  <si>
    <t>Matematika Diskrit</t>
  </si>
  <si>
    <t>09.30-12.00</t>
  </si>
  <si>
    <t>E2.01.08</t>
  </si>
  <si>
    <t>Pancasila</t>
  </si>
  <si>
    <t>Sakit</t>
  </si>
  <si>
    <t>Selasa</t>
  </si>
  <si>
    <t>08.40-10.20</t>
  </si>
  <si>
    <t>Pemograman Dasar</t>
  </si>
  <si>
    <t>Hadir</t>
  </si>
  <si>
    <t>13.00-15.30</t>
  </si>
  <si>
    <t>E2.01.07</t>
  </si>
  <si>
    <t>Aljabar Matriks</t>
  </si>
  <si>
    <t>Rabu</t>
  </si>
  <si>
    <t>Praktikum</t>
  </si>
  <si>
    <t>15.30-17.00</t>
  </si>
  <si>
    <t>C1.04</t>
  </si>
  <si>
    <t>Kamis</t>
  </si>
  <si>
    <t>07.00-09.30</t>
  </si>
  <si>
    <t>Matematika Dasar</t>
  </si>
  <si>
    <t>Jumat</t>
  </si>
  <si>
    <t>E2.01.10</t>
  </si>
  <si>
    <t>100</t>
  </si>
  <si>
    <t>NO</t>
  </si>
  <si>
    <t>TUGAS/KEGIATAN</t>
  </si>
  <si>
    <t>PROGRESS</t>
  </si>
  <si>
    <t>TINGKAT PRIORITAS</t>
  </si>
  <si>
    <t>WAKTU KEGIATAN/DEADLINE</t>
  </si>
  <si>
    <t>SISA WAKTU</t>
  </si>
  <si>
    <t>Minggu</t>
  </si>
  <si>
    <t>Sabtu</t>
  </si>
  <si>
    <t>Tugas Praktikum</t>
  </si>
  <si>
    <t>Sudah selesai</t>
  </si>
  <si>
    <t>Rendah</t>
  </si>
  <si>
    <t>LKMM-TD</t>
  </si>
  <si>
    <t>Non Akademik</t>
  </si>
  <si>
    <t>Sedang</t>
  </si>
  <si>
    <t>Tugas Logaritma</t>
  </si>
  <si>
    <t>Review Aljabar Matriks</t>
  </si>
  <si>
    <t>Proposal Pemrograman Dasar</t>
  </si>
  <si>
    <t>Tinggi</t>
  </si>
  <si>
    <t>Quiz Matematika Diskrit</t>
  </si>
  <si>
    <t>Matematika  Diskrit</t>
  </si>
  <si>
    <t>Presentasi Matematika Dasar</t>
  </si>
  <si>
    <t>Kalender Perkuliahan Literasi Digital</t>
  </si>
  <si>
    <t>Projek Pemrograman Dasar</t>
  </si>
  <si>
    <t>Resume Pancasila</t>
  </si>
  <si>
    <t>Dikerjakan</t>
  </si>
  <si>
    <t>STATUS</t>
  </si>
  <si>
    <t>TOTAL</t>
  </si>
  <si>
    <t>SELESAI</t>
  </si>
  <si>
    <t xml:space="preserve">MATA KULIAH </t>
  </si>
  <si>
    <t>SEMESTER I</t>
  </si>
  <si>
    <t>SEMESTER II</t>
  </si>
  <si>
    <t>SEMESTER III</t>
  </si>
  <si>
    <t>Pendidikan Agama</t>
  </si>
  <si>
    <t>Statistika Inferensial</t>
  </si>
  <si>
    <t>Pendidikan Kewarganegaraan</t>
  </si>
  <si>
    <t>Kecerdasan Artifisial</t>
  </si>
  <si>
    <t>Teori Probabilitas</t>
  </si>
  <si>
    <t>Pengolahan Sinyal Digital</t>
  </si>
  <si>
    <t>Kalkulus Lanjut</t>
  </si>
  <si>
    <t>Pemrosesan Teks</t>
  </si>
  <si>
    <t>Struktur Data dan Algoritma</t>
  </si>
  <si>
    <t>Data Wrangling</t>
  </si>
  <si>
    <t>Interaksi Manusia dan Komputer</t>
  </si>
  <si>
    <t>Basis Data</t>
  </si>
  <si>
    <t>Etika Kecerdasan Artifisial</t>
  </si>
  <si>
    <t>Keamanan dan Integritas Data</t>
  </si>
  <si>
    <t>Konversi Sumber Daya Alam dan Lingkungan</t>
  </si>
  <si>
    <t>Bahasa Indonesia</t>
  </si>
  <si>
    <t>SEMESTER IV</t>
  </si>
  <si>
    <t>SEMESTER V</t>
  </si>
  <si>
    <t>SEMESTER VI</t>
  </si>
  <si>
    <t>Pendidikan Jasmani dan Kebugaran</t>
  </si>
  <si>
    <t>Bahasa Inggris</t>
  </si>
  <si>
    <t>Graf Sains Data</t>
  </si>
  <si>
    <t>Analisis Multivariat</t>
  </si>
  <si>
    <t>Analisis Big Data</t>
  </si>
  <si>
    <t>Riset Operasi</t>
  </si>
  <si>
    <t>Data Warehouse</t>
  </si>
  <si>
    <t>Tata Tulis Ilmiah</t>
  </si>
  <si>
    <t>Komunikasi Publik</t>
  </si>
  <si>
    <t>Pengolahan Citra Digital</t>
  </si>
  <si>
    <t>Pemodelan Stokatik</t>
  </si>
  <si>
    <t>Kecerdasan Bisnis</t>
  </si>
  <si>
    <t>Pembelajaran Mesin Dasar</t>
  </si>
  <si>
    <t>MBKM Studi Independen (MK Konversi/Pilihan)</t>
  </si>
  <si>
    <t>MBKM Magang Industri (MK Konversi?Pilihan)</t>
  </si>
  <si>
    <t>Penambangan Data</t>
  </si>
  <si>
    <t>Analisis Data Eksploratif</t>
  </si>
  <si>
    <t>Kewirausahaan</t>
  </si>
  <si>
    <t>SEMESTER VII</t>
  </si>
  <si>
    <t>SEMESTER VIII</t>
  </si>
  <si>
    <t>Proposal Tugas Akhir</t>
  </si>
  <si>
    <t>Tugas Akhir</t>
  </si>
  <si>
    <t>Pilihan 1</t>
  </si>
  <si>
    <t>Pilihan 2</t>
  </si>
  <si>
    <t>Pilihan 3</t>
  </si>
  <si>
    <t>Pilihan 4</t>
  </si>
  <si>
    <t>Pilihan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</si>
</sst>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"/>
    <numFmt numFmtId="165" formatCode="dddd&quot;//&quot;"/>
    <numFmt numFmtId="166" formatCode="m/d/yyyy"/>
    <numFmt numFmtId="167" formatCode="dd/mm/yyyy"/>
    <numFmt numFmtId="168" formatCode="mmmm yyyy"/>
    <numFmt numFmtId="169" formatCode="M/d/yyyy"/>
    <numFmt numFmtId="170" formatCode="D"/>
  </numFmts>
  <fonts count="36">
    <font>
      <sz val="11.0"/>
      <color theme="1"/>
      <name val="Verdana"/>
      <scheme val="minor"/>
    </font>
    <font>
      <b/>
      <sz val="25.0"/>
      <color theme="1"/>
      <name val="Playfair Display"/>
    </font>
    <font>
      <color theme="1"/>
      <name val="Roboto"/>
    </font>
    <font>
      <b/>
      <sz val="25.0"/>
      <color theme="1"/>
      <name val="Georgia"/>
    </font>
    <font>
      <color rgb="FFEFEFEF"/>
      <name val="Roboto"/>
    </font>
    <font>
      <color rgb="FF434343"/>
      <name val="Roboto"/>
    </font>
    <font>
      <b/>
      <u/>
      <color rgb="FF434343"/>
      <name val="Roboto"/>
    </font>
    <font/>
    <font>
      <b/>
      <u/>
      <color rgb="FF434343"/>
      <name val="Roboto"/>
    </font>
    <font>
      <b/>
      <color theme="1"/>
      <name val="Roboto"/>
    </font>
    <font>
      <sz val="14.0"/>
      <color theme="1"/>
      <name val="Caveat Brush"/>
    </font>
    <font>
      <color theme="1"/>
      <name val="Verdana"/>
      <scheme val="minor"/>
    </font>
    <font>
      <b/>
      <sz val="11.0"/>
      <color theme="1"/>
      <name val="Verdana"/>
      <scheme val="minor"/>
    </font>
    <font>
      <b/>
      <u/>
      <sz val="11.0"/>
      <color rgb="FF000000"/>
    </font>
    <font>
      <b/>
      <u/>
      <sz val="11.0"/>
      <color rgb="FF000000"/>
    </font>
    <font>
      <b/>
      <u/>
      <sz val="11.0"/>
      <color rgb="FF000000"/>
    </font>
    <font>
      <b/>
      <sz val="16.0"/>
      <color theme="1"/>
      <name val="Roboto"/>
    </font>
    <font>
      <b/>
      <sz val="17.0"/>
      <color theme="1"/>
      <name val="Roboto"/>
    </font>
    <font>
      <b/>
      <sz val="15.0"/>
      <color theme="1"/>
      <name val="Roboto"/>
    </font>
    <font>
      <b/>
      <u/>
      <sz val="12.0"/>
      <color rgb="FF000000"/>
      <name val="Roboto"/>
    </font>
    <font>
      <b/>
      <sz val="12.0"/>
      <color theme="1"/>
      <name val="Roboto"/>
    </font>
    <font>
      <b/>
      <u/>
      <sz val="12.0"/>
      <color rgb="FF000000"/>
      <name val="Roboto"/>
    </font>
    <font>
      <b/>
      <u/>
      <sz val="12.0"/>
      <color rgb="FF000000"/>
      <name val="Roboto"/>
    </font>
    <font>
      <b/>
      <u/>
      <sz val="12.0"/>
      <color rgb="FF000000"/>
      <name val="Roboto"/>
    </font>
    <font>
      <b/>
      <u/>
      <sz val="12.0"/>
      <color rgb="FF000000"/>
      <name val="Roboto"/>
    </font>
    <font>
      <b/>
      <sz val="13.0"/>
      <color theme="1"/>
      <name val="Roboto"/>
    </font>
    <font>
      <b/>
      <sz val="15.0"/>
      <color theme="1"/>
      <name val="Georgia"/>
    </font>
    <font>
      <b/>
      <sz val="14.0"/>
      <color theme="1"/>
      <name val="Roboto"/>
    </font>
    <font>
      <b/>
      <sz val="12.0"/>
      <color rgb="FF000000"/>
      <name val="Roboto"/>
    </font>
    <font>
      <sz val="12.0"/>
      <color theme="1"/>
      <name val="Roboto"/>
    </font>
    <font>
      <b/>
      <sz val="11.0"/>
      <color theme="1"/>
      <name val="Roboto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sz val="13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5C8E2"/>
        <bgColor rgb="FFE5C8E2"/>
      </patternFill>
    </fill>
    <fill>
      <patternFill patternType="solid">
        <fgColor rgb="FFA4C2F4"/>
        <bgColor rgb="FFA4C2F4"/>
      </patternFill>
    </fill>
    <fill>
      <patternFill patternType="solid">
        <fgColor rgb="FFB194C5"/>
        <bgColor rgb="FFB194C5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EDD3E7"/>
        <bgColor rgb="FFEDD3E7"/>
      </patternFill>
    </fill>
    <fill>
      <patternFill patternType="solid">
        <fgColor rgb="FFB7E1CD"/>
        <bgColor rgb="FFB7E1CD"/>
      </patternFill>
    </fill>
    <fill>
      <patternFill patternType="solid">
        <fgColor rgb="FFE8BDD9"/>
        <bgColor rgb="FFE8BDD9"/>
      </patternFill>
    </fill>
    <fill>
      <patternFill patternType="solid">
        <fgColor rgb="FFB4A7D6"/>
        <bgColor rgb="FFB4A7D6"/>
      </patternFill>
    </fill>
  </fills>
  <borders count="30">
    <border/>
    <border>
      <left style="thick">
        <color rgb="FFEDD3E7"/>
      </left>
      <right style="thick">
        <color rgb="FFEDD3E7"/>
      </right>
      <top style="thick">
        <color rgb="FFEDD3E7"/>
      </top>
    </border>
    <border>
      <left style="thick">
        <color rgb="FFEDD3E7"/>
      </left>
      <right style="thick">
        <color rgb="FFEDD3E7"/>
      </right>
      <bottom style="thick">
        <color rgb="FFEDD3E7"/>
      </bottom>
    </border>
    <border>
      <right style="thick">
        <color rgb="FFEDD3E7"/>
      </right>
    </border>
    <border>
      <left style="thick">
        <color rgb="FFEDD3E7"/>
      </left>
    </border>
    <border>
      <left style="thick">
        <color rgb="FFEDD3E7"/>
      </left>
      <right style="thick">
        <color rgb="FFEDD3E7"/>
      </right>
      <top style="thick">
        <color rgb="FFEDD3E7"/>
      </top>
      <bottom style="thick">
        <color rgb="FFEDD3E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E8BDD9"/>
      </left>
      <right style="thick">
        <color rgb="FFE8BDD9"/>
      </right>
    </border>
    <border>
      <left style="thick">
        <color rgb="FFE8BDD9"/>
      </left>
      <right style="thick">
        <color rgb="FFE8BDD9"/>
      </right>
      <top style="thick">
        <color rgb="FFE8BDD9"/>
      </top>
      <bottom style="thick">
        <color rgb="FFE8BDD9"/>
      </bottom>
    </border>
    <border>
      <left style="thick">
        <color rgb="FFE8BDD9"/>
      </left>
      <right style="thick">
        <color rgb="FFE8BDD9"/>
      </right>
      <bottom style="thick">
        <color rgb="FFE8BDD9"/>
      </bottom>
    </border>
    <border>
      <right style="thick">
        <color rgb="FFE8BDD9"/>
      </right>
      <top style="thick">
        <color rgb="FFE8BDD9"/>
      </top>
      <bottom style="thick">
        <color rgb="FFE8BDD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E8BDD9"/>
      </left>
    </border>
    <border>
      <right style="thick">
        <color rgb="FFE8BDD9"/>
      </right>
    </border>
    <border>
      <left style="thick">
        <color rgb="FFE8BDD9"/>
      </left>
      <top style="thick">
        <color rgb="FFE8BDD9"/>
      </top>
      <bottom style="thick">
        <color rgb="FFE8BDD9"/>
      </bottom>
    </border>
    <border>
      <left style="thick">
        <color rgb="FFE8BDD9"/>
      </left>
      <bottom style="thick">
        <color rgb="FFE8BDD9"/>
      </bottom>
    </border>
    <border>
      <right style="thick">
        <color rgb="FFE8BDD9"/>
      </right>
      <bottom style="thick">
        <color rgb="FFE8BDD9"/>
      </bottom>
    </border>
    <border>
      <top style="thick">
        <color rgb="FFE8BDD9"/>
      </top>
      <bottom style="thick">
        <color rgb="FFE8BDD9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2" fillId="0" fontId="7" numFmtId="0" xfId="0" applyBorder="1" applyFont="1"/>
    <xf borderId="3" fillId="2" fontId="5" numFmtId="0" xfId="0" applyAlignment="1" applyBorder="1" applyFont="1">
      <alignment horizontal="center" shrinkToFit="0" vertical="center" wrapText="1"/>
    </xf>
    <xf borderId="4" fillId="2" fontId="5" numFmtId="0" xfId="0" applyBorder="1" applyFont="1"/>
    <xf borderId="5" fillId="4" fontId="8" numFmtId="0" xfId="0" applyAlignment="1" applyBorder="1" applyFont="1">
      <alignment horizontal="center" readingOrder="0" shrinkToFit="0" vertical="center" wrapText="1"/>
    </xf>
    <xf borderId="0" fillId="2" fontId="5" numFmtId="0" xfId="0" applyFont="1"/>
    <xf borderId="0" fillId="2" fontId="2" numFmtId="0" xfId="0" applyFont="1"/>
    <xf borderId="0" fillId="2" fontId="2" numFmtId="0" xfId="0" applyAlignment="1" applyFont="1">
      <alignment horizontal="center" shrinkToFit="0" textRotation="0" vertical="center" wrapText="1"/>
    </xf>
    <xf borderId="6" fillId="5" fontId="9" numFmtId="0" xfId="0" applyAlignment="1" applyBorder="1" applyFill="1" applyFont="1">
      <alignment horizontal="center" readingOrder="0" shrinkToFit="0" vertical="center" wrapText="1"/>
    </xf>
    <xf borderId="7" fillId="0" fontId="7" numFmtId="0" xfId="0" applyBorder="1" applyFont="1"/>
    <xf borderId="8" fillId="0" fontId="7" numFmtId="0" xfId="0" applyBorder="1" applyFont="1"/>
    <xf borderId="0" fillId="2" fontId="10" numFmtId="0" xfId="0" applyAlignment="1" applyFont="1">
      <alignment horizontal="center" readingOrder="0" shrinkToFit="0" vertical="center" wrapText="1"/>
    </xf>
    <xf borderId="9" fillId="6" fontId="2" numFmtId="0" xfId="0" applyAlignment="1" applyBorder="1" applyFill="1" applyFont="1">
      <alignment horizontal="center" shrinkToFit="0" vertical="center" wrapText="1"/>
    </xf>
    <xf borderId="0" fillId="6" fontId="2" numFmtId="0" xfId="0" applyAlignment="1" applyFont="1">
      <alignment horizontal="center" shrinkToFit="0" vertical="center" wrapText="1"/>
    </xf>
    <xf borderId="10" fillId="6" fontId="2" numFmtId="0" xfId="0" applyAlignment="1" applyBorder="1" applyFont="1">
      <alignment horizontal="center" shrinkToFit="0" vertical="center" wrapText="1"/>
    </xf>
    <xf borderId="9" fillId="6" fontId="2" numFmtId="0" xfId="0" applyAlignment="1" applyBorder="1" applyFont="1">
      <alignment horizontal="center" readingOrder="0" shrinkToFit="0" vertical="center" wrapText="1"/>
    </xf>
    <xf borderId="10" fillId="6" fontId="2" numFmtId="164" xfId="0" applyAlignment="1" applyBorder="1" applyFont="1" applyNumberFormat="1">
      <alignment horizontal="center" shrinkToFit="0" vertical="center" wrapText="1"/>
    </xf>
    <xf borderId="11" fillId="6" fontId="2" numFmtId="0" xfId="0" applyAlignment="1" applyBorder="1" applyFont="1">
      <alignment horizontal="center" shrinkToFit="0" vertical="center" wrapText="1"/>
    </xf>
    <xf borderId="12" fillId="6" fontId="2" numFmtId="0" xfId="0" applyAlignment="1" applyBorder="1" applyFon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9" fillId="6" fontId="2" numFmtId="164" xfId="0" applyAlignment="1" applyBorder="1" applyFont="1" applyNumberFormat="1">
      <alignment horizontal="center" shrinkToFit="0" vertical="center" wrapText="1"/>
    </xf>
    <xf borderId="11" fillId="6" fontId="2" numFmtId="164" xfId="0" applyAlignment="1" applyBorder="1" applyFont="1" applyNumberFormat="1">
      <alignment horizontal="center" shrinkToFit="0" vertical="center" wrapText="1"/>
    </xf>
    <xf borderId="13" fillId="6" fontId="2" numFmtId="164" xfId="0" applyAlignment="1" applyBorder="1" applyFont="1" applyNumberFormat="1">
      <alignment horizontal="center" shrinkToFit="0" vertical="center" wrapText="1"/>
    </xf>
    <xf borderId="0" fillId="7" fontId="11" numFmtId="0" xfId="0" applyAlignment="1" applyFill="1" applyFont="1">
      <alignment horizontal="center" shrinkToFit="0" vertical="center" wrapText="1"/>
    </xf>
    <xf borderId="0" fillId="7" fontId="11" numFmtId="165" xfId="0" applyAlignment="1" applyFont="1" applyNumberFormat="1">
      <alignment horizontal="center" shrinkToFit="0" vertical="center" wrapText="1"/>
    </xf>
    <xf borderId="0" fillId="7" fontId="12" numFmtId="0" xfId="0" applyAlignment="1" applyFont="1">
      <alignment horizontal="center" shrinkToFit="0" vertical="center" wrapText="1"/>
    </xf>
    <xf borderId="14" fillId="4" fontId="13" numFmtId="0" xfId="0" applyAlignment="1" applyBorder="1" applyFont="1">
      <alignment horizontal="center" readingOrder="0" vertical="center"/>
    </xf>
    <xf borderId="0" fillId="7" fontId="12" numFmtId="49" xfId="0" applyAlignment="1" applyFont="1" applyNumberFormat="1">
      <alignment horizontal="center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5" xfId="0" applyAlignment="1" applyFont="1" applyNumberFormat="1">
      <alignment horizontal="center" shrinkToFit="0" vertical="center" wrapText="1"/>
    </xf>
    <xf borderId="15" fillId="4" fontId="14" numFmtId="0" xfId="0" applyAlignment="1" applyBorder="1" applyFont="1">
      <alignment horizontal="center" readingOrder="0" shrinkToFit="0" vertical="center" wrapText="1"/>
    </xf>
    <xf borderId="16" fillId="0" fontId="7" numFmtId="0" xfId="0" applyBorder="1" applyFont="1"/>
    <xf borderId="17" fillId="4" fontId="15" numFmtId="49" xfId="0" applyAlignment="1" applyBorder="1" applyFont="1" applyNumberFormat="1">
      <alignment horizontal="center" readingOrder="0" shrinkToFit="0" vertical="center" wrapText="1"/>
    </xf>
    <xf borderId="0" fillId="2" fontId="11" numFmtId="0" xfId="0" applyAlignment="1" applyFont="1">
      <alignment vertical="center"/>
    </xf>
    <xf borderId="0" fillId="2" fontId="11" numFmtId="0" xfId="0" applyFont="1"/>
    <xf borderId="0" fillId="2" fontId="11" numFmtId="49" xfId="0" applyAlignment="1" applyFont="1" applyNumberFormat="1">
      <alignment horizontal="center" shrinkToFit="0" vertical="center" wrapText="1"/>
    </xf>
    <xf borderId="18" fillId="8" fontId="16" numFmtId="0" xfId="0" applyAlignment="1" applyBorder="1" applyFill="1" applyFont="1">
      <alignment horizontal="center" readingOrder="0" vertical="center"/>
    </xf>
    <xf borderId="19" fillId="0" fontId="7" numFmtId="0" xfId="0" applyBorder="1" applyFont="1"/>
    <xf borderId="20" fillId="0" fontId="7" numFmtId="0" xfId="0" applyBorder="1" applyFont="1"/>
    <xf borderId="18" fillId="8" fontId="16" numFmtId="0" xfId="0" applyAlignment="1" applyBorder="1" applyFont="1">
      <alignment horizontal="center" readingOrder="0" shrinkToFit="0" vertical="center" wrapText="1"/>
    </xf>
    <xf borderId="18" fillId="8" fontId="17" numFmtId="0" xfId="0" applyAlignment="1" applyBorder="1" applyFont="1">
      <alignment horizontal="center" readingOrder="0" shrinkToFit="0" vertical="center" wrapText="1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21" fillId="9" fontId="9" numFmtId="165" xfId="0" applyAlignment="1" applyBorder="1" applyFill="1" applyFont="1" applyNumberFormat="1">
      <alignment horizontal="center" readingOrder="0" shrinkToFit="0" vertical="center" wrapText="1"/>
    </xf>
    <xf borderId="21" fillId="3" fontId="9" numFmtId="0" xfId="0" applyAlignment="1" applyBorder="1" applyFont="1">
      <alignment horizontal="center" readingOrder="0" shrinkToFit="0" vertical="center" wrapText="1"/>
    </xf>
    <xf borderId="21" fillId="5" fontId="9" numFmtId="0" xfId="0" applyAlignment="1" applyBorder="1" applyFont="1">
      <alignment horizontal="center" readingOrder="0" shrinkToFit="0" vertical="center" wrapText="1"/>
    </xf>
    <xf borderId="21" fillId="9" fontId="9" numFmtId="0" xfId="0" applyAlignment="1" applyBorder="1" applyFont="1">
      <alignment horizontal="center" readingOrder="0" shrinkToFit="0" vertical="center" wrapText="1"/>
    </xf>
    <xf borderId="21" fillId="10" fontId="9" numFmtId="0" xfId="0" applyAlignment="1" applyBorder="1" applyFill="1" applyFont="1">
      <alignment horizontal="center" readingOrder="0" shrinkToFit="0" vertical="center" wrapText="1"/>
    </xf>
    <xf borderId="21" fillId="5" fontId="9" numFmtId="49" xfId="0" applyAlignment="1" applyBorder="1" applyFont="1" applyNumberFormat="1">
      <alignment horizontal="center" readingOrder="0" shrinkToFit="0" vertical="center" wrapText="1"/>
    </xf>
    <xf borderId="22" fillId="9" fontId="2" numFmtId="0" xfId="0" applyAlignment="1" applyBorder="1" applyFont="1">
      <alignment horizontal="center" readingOrder="0" shrinkToFit="0" vertical="center" wrapText="1"/>
    </xf>
    <xf borderId="22" fillId="10" fontId="2" numFmtId="0" xfId="0" applyAlignment="1" applyBorder="1" applyFont="1">
      <alignment horizontal="center" readingOrder="0" shrinkToFit="0" vertical="center" wrapText="1"/>
    </xf>
    <xf borderId="22" fillId="5" fontId="2" numFmtId="0" xfId="0" applyAlignment="1" applyBorder="1" applyFont="1">
      <alignment horizontal="center" readingOrder="0" shrinkToFit="0" vertical="center" wrapText="1"/>
    </xf>
    <xf borderId="21" fillId="9" fontId="9" numFmtId="0" xfId="0" applyAlignment="1" applyBorder="1" applyFont="1">
      <alignment horizontal="center" readingOrder="0" vertical="center"/>
    </xf>
    <xf borderId="23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21" fillId="0" fontId="2" numFmtId="49" xfId="0" applyAlignment="1" applyBorder="1" applyFont="1" applyNumberFormat="1">
      <alignment horizontal="center" readingOrder="0" shrinkToFit="0" vertical="center" wrapText="1"/>
    </xf>
    <xf borderId="21" fillId="0" fontId="2" numFmtId="166" xfId="0" applyAlignment="1" applyBorder="1" applyFont="1" applyNumberFormat="1">
      <alignment horizontal="center" readingOrder="0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2" fillId="0" fontId="7" numFmtId="0" xfId="0" applyBorder="1" applyFont="1"/>
    <xf borderId="21" fillId="0" fontId="2" numFmtId="167" xfId="0" applyAlignment="1" applyBorder="1" applyFont="1" applyNumberFormat="1">
      <alignment horizontal="center" readingOrder="0" shrinkToFit="0" vertical="center" wrapText="1"/>
    </xf>
    <xf borderId="21" fillId="0" fontId="11" numFmtId="0" xfId="0" applyAlignment="1" applyBorder="1" applyFont="1">
      <alignment horizontal="center" shrinkToFit="0" vertical="center" wrapText="1"/>
    </xf>
    <xf borderId="0" fillId="7" fontId="18" numFmtId="168" xfId="0" applyAlignment="1" applyFont="1" applyNumberFormat="1">
      <alignment horizontal="center" readingOrder="0"/>
    </xf>
    <xf borderId="24" fillId="2" fontId="19" numFmtId="0" xfId="0" applyAlignment="1" applyBorder="1" applyFont="1">
      <alignment horizontal="center" readingOrder="0" vertical="center"/>
    </xf>
    <xf borderId="25" fillId="0" fontId="7" numFmtId="0" xfId="0" applyBorder="1" applyFont="1"/>
    <xf borderId="0" fillId="7" fontId="11" numFmtId="0" xfId="0" applyFont="1"/>
    <xf borderId="0" fillId="7" fontId="2" numFmtId="0" xfId="0" applyFont="1"/>
    <xf borderId="0" fillId="7" fontId="20" numFmtId="0" xfId="0" applyAlignment="1" applyFont="1">
      <alignment horizontal="center" readingOrder="0" shrinkToFit="0" vertical="center" wrapText="1"/>
    </xf>
    <xf borderId="0" fillId="7" fontId="20" numFmtId="3" xfId="0" applyAlignment="1" applyFont="1" applyNumberFormat="1">
      <alignment horizontal="center" readingOrder="0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2" fontId="18" numFmtId="168" xfId="0" applyAlignment="1" applyFont="1" applyNumberFormat="1">
      <alignment horizontal="center" readingOrder="0"/>
    </xf>
    <xf borderId="15" fillId="4" fontId="21" numFmtId="0" xfId="0" applyAlignment="1" applyBorder="1" applyFont="1">
      <alignment horizontal="center" readingOrder="0" vertical="center"/>
    </xf>
    <xf borderId="26" fillId="4" fontId="22" numFmtId="0" xfId="0" applyAlignment="1" applyBorder="1" applyFont="1">
      <alignment horizontal="center" readingOrder="0" vertical="center"/>
    </xf>
    <xf borderId="17" fillId="0" fontId="7" numFmtId="0" xfId="0" applyBorder="1" applyFont="1"/>
    <xf borderId="27" fillId="0" fontId="7" numFmtId="0" xfId="0" applyBorder="1" applyFont="1"/>
    <xf borderId="28" fillId="0" fontId="7" numFmtId="0" xfId="0" applyBorder="1" applyFont="1"/>
    <xf borderId="29" fillId="4" fontId="23" numFmtId="0" xfId="0" applyAlignment="1" applyBorder="1" applyFont="1">
      <alignment horizontal="center" readingOrder="0" shrinkToFit="0" vertical="center" wrapText="1"/>
    </xf>
    <xf borderId="15" fillId="4" fontId="24" numFmtId="0" xfId="0" applyAlignment="1" applyBorder="1" applyFont="1">
      <alignment horizontal="center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3" xfId="0" applyAlignment="1" applyFont="1" applyNumberFormat="1">
      <alignment horizontal="center" readingOrder="0" shrinkToFit="0" vertical="center" wrapText="1"/>
    </xf>
    <xf borderId="0" fillId="2" fontId="20" numFmtId="3" xfId="0" applyAlignment="1" applyFont="1" applyNumberFormat="1">
      <alignment horizontal="center" readingOrder="0" shrinkToFit="0" vertical="center" wrapText="1"/>
    </xf>
    <xf borderId="21" fillId="2" fontId="25" numFmtId="9" xfId="0" applyAlignment="1" applyBorder="1" applyFont="1" applyNumberFormat="1">
      <alignment horizontal="center" readingOrder="0" shrinkToFit="0" vertical="center" wrapText="1"/>
    </xf>
    <xf borderId="7" fillId="2" fontId="20" numFmtId="0" xfId="0" applyAlignment="1" applyBorder="1" applyFont="1">
      <alignment horizontal="center" readingOrder="0" shrinkToFit="0" vertical="center" wrapText="1"/>
    </xf>
    <xf borderId="6" fillId="5" fontId="26" numFmtId="168" xfId="0" applyAlignment="1" applyBorder="1" applyFont="1" applyNumberFormat="1">
      <alignment horizontal="center" readingOrder="0" vertical="center"/>
    </xf>
    <xf borderId="21" fillId="5" fontId="27" numFmtId="0" xfId="0" applyAlignment="1" applyBorder="1" applyFont="1">
      <alignment horizontal="center" readingOrder="0" shrinkToFit="0" vertical="center" wrapText="1"/>
    </xf>
    <xf borderId="6" fillId="5" fontId="27" numFmtId="0" xfId="0" applyAlignment="1" applyBorder="1" applyFont="1">
      <alignment horizontal="center" readingOrder="0" shrinkToFit="0" vertical="center" wrapText="1"/>
    </xf>
    <xf borderId="21" fillId="5" fontId="27" numFmtId="3" xfId="0" applyAlignment="1" applyBorder="1" applyFont="1" applyNumberFormat="1">
      <alignment horizontal="center" readingOrder="0" shrinkToFit="0" vertical="center" wrapText="1"/>
    </xf>
    <xf borderId="22" fillId="10" fontId="28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center" readingOrder="0"/>
    </xf>
    <xf borderId="21" fillId="6" fontId="2" numFmtId="0" xfId="0" applyAlignment="1" applyBorder="1" applyFont="1">
      <alignment horizontal="center" readingOrder="0" shrinkToFit="0" vertical="center" wrapText="1"/>
    </xf>
    <xf borderId="21" fillId="0" fontId="2" numFmtId="169" xfId="0" applyAlignment="1" applyBorder="1" applyFont="1" applyNumberFormat="1">
      <alignment horizontal="center" readingOrder="0" shrinkToFit="0" vertical="center" wrapText="1"/>
    </xf>
    <xf borderId="21" fillId="0" fontId="2" numFmtId="3" xfId="0" applyAlignment="1" applyBorder="1" applyFont="1" applyNumberFormat="1">
      <alignment horizontal="center" readingOrder="0" shrinkToFit="0" vertical="center" wrapText="1"/>
    </xf>
    <xf borderId="23" fillId="0" fontId="9" numFmtId="170" xfId="0" applyAlignment="1" applyBorder="1" applyFont="1" applyNumberFormat="1">
      <alignment vertical="top"/>
    </xf>
    <xf borderId="0" fillId="2" fontId="9" numFmtId="170" xfId="0" applyFont="1" applyNumberFormat="1"/>
    <xf borderId="0" fillId="2" fontId="2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readingOrder="0"/>
    </xf>
    <xf borderId="0" fillId="2" fontId="9" numFmtId="0" xfId="0" applyFont="1"/>
    <xf borderId="21" fillId="6" fontId="2" numFmtId="0" xfId="0" applyAlignment="1" applyBorder="1" applyFont="1">
      <alignment horizontal="center" shrinkToFit="0" vertical="center" wrapText="1"/>
    </xf>
    <xf borderId="6" fillId="5" fontId="25" numFmtId="0" xfId="0" applyAlignment="1" applyBorder="1" applyFont="1">
      <alignment horizontal="center" readingOrder="0" vertical="center"/>
    </xf>
    <xf borderId="6" fillId="6" fontId="9" numFmtId="0" xfId="0" applyAlignment="1" applyBorder="1" applyFont="1">
      <alignment horizontal="center" readingOrder="0" vertical="center"/>
    </xf>
    <xf borderId="6" fillId="6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shrinkToFit="0" vertical="center" wrapText="1"/>
    </xf>
    <xf borderId="0" fillId="2" fontId="9" numFmtId="3" xfId="0" applyFont="1" applyNumberFormat="1"/>
    <xf borderId="0" fillId="7" fontId="29" numFmtId="0" xfId="0" applyFont="1"/>
    <xf borderId="0" fillId="7" fontId="30" numFmtId="0" xfId="0" applyFont="1"/>
    <xf borderId="14" fillId="2" fontId="31" numFmtId="0" xfId="0" applyAlignment="1" applyBorder="1" applyFont="1">
      <alignment horizontal="center" readingOrder="0" vertical="center"/>
    </xf>
    <xf borderId="0" fillId="2" fontId="29" numFmtId="0" xfId="0" applyFont="1"/>
    <xf borderId="15" fillId="4" fontId="32" numFmtId="0" xfId="0" applyAlignment="1" applyBorder="1" applyFont="1">
      <alignment horizontal="center" readingOrder="0" vertical="center"/>
    </xf>
    <xf borderId="26" fillId="4" fontId="33" numFmtId="0" xfId="0" applyAlignment="1" applyBorder="1" applyFont="1">
      <alignment horizontal="center" readingOrder="0" vertical="center"/>
    </xf>
    <xf borderId="17" fillId="4" fontId="34" numFmtId="0" xfId="0" applyAlignment="1" applyBorder="1" applyFont="1">
      <alignment horizontal="center" readingOrder="0" vertical="center"/>
    </xf>
    <xf borderId="0" fillId="2" fontId="35" numFmtId="0" xfId="0" applyFont="1"/>
    <xf borderId="18" fillId="5" fontId="27" numFmtId="0" xfId="0" applyAlignment="1" applyBorder="1" applyFont="1">
      <alignment horizontal="center" readingOrder="0" shrinkToFit="0" vertical="center" wrapText="0"/>
    </xf>
    <xf borderId="6" fillId="5" fontId="27" numFmtId="0" xfId="0" applyAlignment="1" applyBorder="1" applyFont="1">
      <alignment horizontal="center" readingOrder="0" shrinkToFit="0" vertical="center" wrapText="0"/>
    </xf>
    <xf borderId="0" fillId="5" fontId="27" numFmtId="0" xfId="0" applyAlignment="1" applyFont="1">
      <alignment horizontal="center" readingOrder="0" shrinkToFit="0" vertical="center" wrapText="0"/>
    </xf>
    <xf borderId="21" fillId="11" fontId="2" numFmtId="165" xfId="0" applyAlignment="1" applyBorder="1" applyFill="1" applyFont="1" applyNumberFormat="1">
      <alignment horizontal="center" readingOrder="0" shrinkToFit="0" vertical="center" wrapText="1"/>
    </xf>
    <xf borderId="21" fillId="10" fontId="2" numFmtId="0" xfId="0" applyAlignment="1" applyBorder="1" applyFont="1">
      <alignment horizontal="center" readingOrder="0" shrinkToFit="0" vertical="center" wrapText="1"/>
    </xf>
    <xf borderId="21" fillId="11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1" fillId="0" fontId="2" numFmtId="0" xfId="0" applyAlignment="1" applyBorder="1" applyFont="1">
      <alignment horizontal="center" readingOrder="0" vertical="center"/>
    </xf>
    <xf borderId="21" fillId="0" fontId="2" numFmtId="0" xfId="0" applyBorder="1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strike/>
        <color rgb="FFB7B7B7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D9D9D9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A64D79"/>
          <bgColor rgb="FFA64D79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</dxfs>
  <tableStyles count="1">
    <tableStyle count="2" pivot="0" name="KALEND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4.png"/><Relationship Id="rId4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4</xdr:row>
      <xdr:rowOff>171450</xdr:rowOff>
    </xdr:from>
    <xdr:ext cx="3114675" cy="1457325"/>
    <xdr:sp>
      <xdr:nvSpPr>
        <xdr:cNvPr id="3" name="Shape 3"/>
        <xdr:cNvSpPr/>
      </xdr:nvSpPr>
      <xdr:spPr>
        <a:xfrm>
          <a:off x="933950" y="1662600"/>
          <a:ext cx="4016400" cy="18792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76200">
          <a:solidFill>
            <a:srgbClr val="F4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latin typeface="Playfair Display"/>
              <a:ea typeface="Playfair Display"/>
              <a:cs typeface="Playfair Display"/>
              <a:sym typeface="Playfair Display"/>
            </a:rPr>
            <a:t>NAMA_KELAS</a:t>
          </a:r>
          <a:endParaRPr sz="2800">
            <a:latin typeface="Playfair Display"/>
            <a:ea typeface="Playfair Display"/>
            <a:cs typeface="Playfair Display"/>
            <a:sym typeface="Playfair Display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800">
            <a:latin typeface="Playfair Display"/>
            <a:ea typeface="Playfair Display"/>
            <a:cs typeface="Playfair Display"/>
            <a:sym typeface="Playfair Display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latin typeface="Playfair Display"/>
              <a:ea typeface="Playfair Display"/>
              <a:cs typeface="Playfair Display"/>
              <a:sym typeface="Playfair Display"/>
            </a:rPr>
            <a:t>PRODI</a:t>
          </a:r>
          <a:endParaRPr sz="2800">
            <a:latin typeface="Playfair Display"/>
            <a:ea typeface="Playfair Display"/>
            <a:cs typeface="Playfair Display"/>
            <a:sym typeface="Playfair Display"/>
          </a:endParaRPr>
        </a:p>
      </xdr:txBody>
    </xdr:sp>
    <xdr:clientData fLocksWithSheet="0"/>
  </xdr:oneCellAnchor>
  <xdr:oneCellAnchor>
    <xdr:from>
      <xdr:col>8</xdr:col>
      <xdr:colOff>9525</xdr:colOff>
      <xdr:row>13</xdr:row>
      <xdr:rowOff>28575</xdr:rowOff>
    </xdr:from>
    <xdr:ext cx="2867025" cy="2000250"/>
    <xdr:grpSp>
      <xdr:nvGrpSpPr>
        <xdr:cNvPr id="2" name="Shape 2" title="Gambar"/>
        <xdr:cNvGrpSpPr/>
      </xdr:nvGrpSpPr>
      <xdr:grpSpPr>
        <a:xfrm>
          <a:off x="1792875" y="954375"/>
          <a:ext cx="2945100" cy="2045100"/>
          <a:chOff x="1792875" y="954375"/>
          <a:chExt cx="2945100" cy="2045100"/>
        </a:xfrm>
      </xdr:grpSpPr>
      <xdr:sp>
        <xdr:nvSpPr>
          <xdr:cNvPr id="4" name="Shape 4"/>
          <xdr:cNvSpPr/>
        </xdr:nvSpPr>
        <xdr:spPr>
          <a:xfrm>
            <a:off x="1792875" y="954375"/>
            <a:ext cx="2945100" cy="2045100"/>
          </a:xfrm>
          <a:prstGeom prst="flowChartAlternateProcess">
            <a:avLst/>
          </a:prstGeom>
          <a:solidFill>
            <a:srgbClr val="FFFFFF"/>
          </a:solidFill>
          <a:ln cap="flat" cmpd="sng" w="38100">
            <a:solidFill>
              <a:srgbClr val="EAD1DC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2017875" y="1629275"/>
            <a:ext cx="2495100" cy="942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• Kelompok N 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1. Julia Nur Faizah (146)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2. Haida Syahira (057)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3. Nur Adlina Latifah (068</a:t>
            </a:r>
            <a:r>
              <a:rPr lang="en-US" sz="1400"/>
              <a:t>)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6</xdr:col>
      <xdr:colOff>466725</xdr:colOff>
      <xdr:row>18</xdr:row>
      <xdr:rowOff>95250</xdr:rowOff>
    </xdr:from>
    <xdr:ext cx="876300" cy="9144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685800</xdr:colOff>
      <xdr:row>20</xdr:row>
      <xdr:rowOff>9525</xdr:rowOff>
    </xdr:from>
    <xdr:ext cx="590550" cy="6191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13</xdr:row>
      <xdr:rowOff>66675</xdr:rowOff>
    </xdr:from>
    <xdr:ext cx="714375" cy="7334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16</xdr:row>
      <xdr:rowOff>47625</xdr:rowOff>
    </xdr:from>
    <xdr:ext cx="552450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3</xdr:row>
      <xdr:rowOff>114300</xdr:rowOff>
    </xdr:from>
    <xdr:ext cx="3419475" cy="2114550"/>
    <xdr:pic>
      <xdr:nvPicPr>
        <xdr:cNvPr id="1711820698" name="Chart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876300</xdr:colOff>
      <xdr:row>3</xdr:row>
      <xdr:rowOff>152400</xdr:rowOff>
    </xdr:from>
    <xdr:ext cx="3267075" cy="2038350"/>
    <xdr:pic>
      <xdr:nvPicPr>
        <xdr:cNvPr id="1573649606" name="Chart2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15</xdr:row>
      <xdr:rowOff>142875</xdr:rowOff>
    </xdr:from>
    <xdr:ext cx="3362325" cy="2114550"/>
    <xdr:pic>
      <xdr:nvPicPr>
        <xdr:cNvPr id="938379180" name="Chart3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876300</xdr:colOff>
      <xdr:row>15</xdr:row>
      <xdr:rowOff>66675</xdr:rowOff>
    </xdr:from>
    <xdr:ext cx="3267075" cy="2038350"/>
    <xdr:pic>
      <xdr:nvPicPr>
        <xdr:cNvPr id="969535344" name="Chart4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485775</xdr:colOff>
      <xdr:row>11</xdr:row>
      <xdr:rowOff>28575</xdr:rowOff>
    </xdr:from>
    <xdr:ext cx="2990850" cy="1857375"/>
    <xdr:pic>
      <xdr:nvPicPr>
        <xdr:cNvPr id="1884813310" name="Chart5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K7:N2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KALEND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5.56"/>
    <col customWidth="1" min="2" max="2" width="15.0"/>
    <col customWidth="1" min="3" max="3" width="9.78"/>
    <col customWidth="1" min="9" max="9" width="7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>
      <c r="A2" s="3" t="s">
        <v>0</v>
      </c>
      <c r="M2" s="4"/>
    </row>
    <row r="4">
      <c r="A4" s="2"/>
      <c r="B4" s="2"/>
      <c r="C4" s="2"/>
      <c r="D4" s="2"/>
      <c r="E4" s="2"/>
      <c r="F4" s="5"/>
      <c r="G4" s="5"/>
      <c r="H4" s="6"/>
      <c r="I4" s="6"/>
      <c r="J4" s="6"/>
      <c r="K4" s="2"/>
      <c r="L4" s="2"/>
      <c r="M4" s="2"/>
    </row>
    <row r="5">
      <c r="A5" s="2"/>
      <c r="B5" s="2"/>
      <c r="C5" s="2"/>
      <c r="D5" s="2"/>
      <c r="E5" s="2"/>
      <c r="F5" s="5"/>
      <c r="G5" s="5"/>
      <c r="H5" s="6"/>
      <c r="I5" s="6"/>
      <c r="J5" s="6"/>
      <c r="K5" s="2"/>
      <c r="L5" s="2"/>
      <c r="M5" s="2"/>
    </row>
    <row r="6">
      <c r="A6" s="2"/>
      <c r="B6" s="2"/>
      <c r="C6" s="2"/>
      <c r="D6" s="2"/>
      <c r="E6" s="2"/>
      <c r="F6" s="5"/>
      <c r="G6" s="5"/>
      <c r="H6" s="7"/>
      <c r="I6" s="8" t="s">
        <v>1</v>
      </c>
      <c r="J6" s="7"/>
      <c r="K6" s="2"/>
      <c r="L6" s="2"/>
      <c r="M6" s="2"/>
    </row>
    <row r="7">
      <c r="A7" s="2"/>
      <c r="B7" s="2"/>
      <c r="C7" s="2"/>
      <c r="D7" s="2"/>
      <c r="E7" s="2"/>
      <c r="F7" s="5"/>
      <c r="G7" s="5"/>
      <c r="H7" s="7"/>
      <c r="I7" s="9"/>
      <c r="J7" s="7"/>
      <c r="K7" s="2"/>
      <c r="L7" s="2"/>
      <c r="M7" s="2"/>
    </row>
    <row r="8">
      <c r="A8" s="2"/>
      <c r="B8" s="2"/>
      <c r="C8" s="2"/>
      <c r="D8" s="2"/>
      <c r="E8" s="2"/>
      <c r="F8" s="5"/>
      <c r="G8" s="5"/>
      <c r="H8" s="8" t="s">
        <v>2</v>
      </c>
      <c r="I8" s="7"/>
      <c r="J8" s="8" t="s">
        <v>3</v>
      </c>
      <c r="K8" s="2"/>
      <c r="L8" s="2"/>
      <c r="M8" s="2"/>
    </row>
    <row r="9">
      <c r="A9" s="2"/>
      <c r="B9" s="2"/>
      <c r="C9" s="2"/>
      <c r="D9" s="2"/>
      <c r="E9" s="2"/>
      <c r="F9" s="5"/>
      <c r="G9" s="5"/>
      <c r="H9" s="9"/>
      <c r="I9" s="7"/>
      <c r="J9" s="9"/>
      <c r="K9" s="2"/>
      <c r="L9" s="2"/>
      <c r="M9" s="2"/>
    </row>
    <row r="10">
      <c r="A10" s="2"/>
      <c r="B10" s="2"/>
      <c r="C10" s="2"/>
      <c r="D10" s="2"/>
      <c r="E10" s="2"/>
      <c r="F10" s="5"/>
      <c r="G10" s="5"/>
      <c r="H10" s="10"/>
      <c r="I10" s="7"/>
      <c r="J10" s="11"/>
      <c r="K10" s="2"/>
      <c r="L10" s="2"/>
      <c r="M10" s="2"/>
    </row>
    <row r="11">
      <c r="A11" s="2"/>
      <c r="B11" s="2"/>
      <c r="C11" s="2"/>
      <c r="D11" s="2"/>
      <c r="E11" s="2"/>
      <c r="F11" s="5"/>
      <c r="G11" s="5"/>
      <c r="H11" s="12" t="s">
        <v>4</v>
      </c>
      <c r="I11" s="13"/>
      <c r="J11" s="12" t="s">
        <v>5</v>
      </c>
      <c r="K11" s="2"/>
      <c r="L11" s="2"/>
      <c r="M11" s="2"/>
    </row>
    <row r="12">
      <c r="A12" s="2"/>
      <c r="B12" s="2"/>
      <c r="C12" s="2"/>
      <c r="D12" s="2"/>
      <c r="E12" s="2"/>
      <c r="F12" s="5"/>
      <c r="G12" s="5"/>
      <c r="H12" s="2"/>
      <c r="I12" s="14"/>
      <c r="J12" s="7"/>
      <c r="K12" s="2"/>
      <c r="L12" s="2"/>
      <c r="M12" s="2"/>
    </row>
    <row r="13">
      <c r="A13" s="2"/>
      <c r="B13" s="2"/>
      <c r="C13" s="2"/>
      <c r="D13" s="2"/>
      <c r="E13" s="2"/>
      <c r="F13" s="5"/>
      <c r="G13" s="5"/>
      <c r="H13" s="2"/>
      <c r="I13" s="2"/>
      <c r="J13" s="7"/>
      <c r="K13" s="2"/>
      <c r="L13" s="2"/>
      <c r="M13" s="2"/>
    </row>
    <row r="14" ht="19.5" customHeight="1">
      <c r="A14" s="2"/>
      <c r="B14" s="2"/>
      <c r="C14" s="2"/>
      <c r="D14" s="2"/>
      <c r="E14" s="2"/>
      <c r="F14" s="5"/>
      <c r="G14" s="5"/>
      <c r="H14" s="15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5"/>
      <c r="G15" s="5"/>
      <c r="H15" s="2"/>
      <c r="I15" s="2"/>
      <c r="J15" s="2"/>
      <c r="K15" s="2"/>
      <c r="L15" s="2"/>
      <c r="M15" s="2"/>
    </row>
    <row r="16" ht="20.25" customHeight="1">
      <c r="A16" s="2"/>
      <c r="B16" s="16" t="s">
        <v>6</v>
      </c>
      <c r="C16" s="17"/>
      <c r="D16" s="18"/>
      <c r="E16" s="2"/>
      <c r="F16" s="16" t="s">
        <v>7</v>
      </c>
      <c r="G16" s="18"/>
      <c r="H16" s="2"/>
      <c r="I16" s="19"/>
      <c r="J16" s="19"/>
      <c r="K16" s="19"/>
      <c r="L16" s="2"/>
      <c r="M16" s="2"/>
    </row>
    <row r="17">
      <c r="A17" s="2"/>
      <c r="B17" s="20" t="str">
        <f>IFERROR(__xludf.DUMMYFUNCTION("IFERROR(QUERY(DATABASE!B7:F26,""select C, E, F where B='""&amp;TEXT(TODAY(),""dddd"")&amp;""'"",0),""Tidak ada jadwal"")"),"Matematika Dasar")</f>
        <v>Matematika Dasar</v>
      </c>
      <c r="C17" s="21" t="str">
        <f>IFERROR(__xludf.DUMMYFUNCTION("""COMPUTED_VALUE"""),"13.00-15.30")</f>
        <v>13.00-15.30</v>
      </c>
      <c r="D17" s="22" t="str">
        <f>IFERROR(__xludf.DUMMYFUNCTION("""COMPUTED_VALUE"""),"E2.01.10")</f>
        <v>E2.01.10</v>
      </c>
      <c r="E17" s="2"/>
      <c r="F17" s="23" t="str">
        <f>IFERROR(__xludf.DUMMYFUNCTION("IFERROR(
  QUERY(
    KALENDER!K5:P100,
    ""select K, O 
     where P &lt;= 3 
       and P &gt;= 0 
       and (M = 'Belum di mulai' or M = 'Dikerjakan')"",
    1
  ),
  ""Tidak ada kegiatan dengan sisa ≤ 3 hari""
)"),"Tidak ada kegiatan dengan sisa ≤ 3 hari")</f>
        <v>Tidak ada kegiatan dengan sisa ≤ 3 hari</v>
      </c>
      <c r="G17" s="24"/>
      <c r="H17" s="2"/>
      <c r="I17" s="19"/>
      <c r="J17" s="19"/>
      <c r="K17" s="19"/>
      <c r="L17" s="2"/>
      <c r="M17" s="2"/>
    </row>
    <row r="18">
      <c r="A18" s="2"/>
      <c r="B18" s="25"/>
      <c r="C18" s="26"/>
      <c r="D18" s="27"/>
      <c r="E18" s="2"/>
      <c r="F18" s="20"/>
      <c r="G18" s="24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8"/>
      <c r="G19" s="24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8"/>
      <c r="G20" s="24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28"/>
      <c r="G21" s="24"/>
      <c r="H21" s="2"/>
      <c r="I21" s="2"/>
      <c r="J21" s="2"/>
      <c r="K21" s="2"/>
      <c r="L21" s="2"/>
      <c r="M21" s="2"/>
    </row>
    <row r="22">
      <c r="A22" s="2"/>
      <c r="B22" s="2"/>
      <c r="C22" s="2"/>
      <c r="D22" s="2"/>
      <c r="E22" s="2"/>
      <c r="F22" s="29"/>
      <c r="G22" s="30"/>
      <c r="H22" s="2"/>
      <c r="I22" s="2"/>
      <c r="J22" s="2"/>
      <c r="K22" s="2"/>
      <c r="L22" s="2"/>
      <c r="M22" s="2"/>
    </row>
    <row r="23">
      <c r="A23" s="2"/>
      <c r="B23" s="2"/>
      <c r="C23" s="2"/>
      <c r="D23" s="2"/>
      <c r="E23" s="2"/>
      <c r="F23" s="5"/>
      <c r="G23" s="5"/>
      <c r="H23" s="2"/>
      <c r="I23" s="2"/>
      <c r="J23" s="2"/>
      <c r="K23" s="2"/>
      <c r="L23" s="2"/>
      <c r="M23" s="2"/>
    </row>
    <row r="24">
      <c r="A24" s="2"/>
      <c r="B24" s="2"/>
      <c r="C24" s="2"/>
      <c r="D24" s="2"/>
      <c r="E24" s="2"/>
      <c r="F24" s="5"/>
      <c r="G24" s="5"/>
      <c r="H24" s="2"/>
      <c r="I24" s="2"/>
      <c r="J24" s="2"/>
      <c r="K24" s="2"/>
      <c r="L24" s="2"/>
      <c r="M24" s="2"/>
    </row>
    <row r="25">
      <c r="A25" s="2"/>
      <c r="B25" s="2"/>
      <c r="C25" s="2"/>
      <c r="D25" s="2"/>
      <c r="E25" s="2"/>
      <c r="F25" s="5"/>
      <c r="G25" s="5"/>
      <c r="H25" s="2"/>
      <c r="I25" s="2"/>
      <c r="J25" s="2"/>
      <c r="K25" s="2"/>
      <c r="L25" s="2"/>
      <c r="M25" s="2"/>
    </row>
    <row r="26">
      <c r="A26" s="2"/>
      <c r="B26" s="2"/>
      <c r="C26" s="2"/>
      <c r="D26" s="2"/>
      <c r="E26" s="2"/>
      <c r="F26" s="5"/>
      <c r="G26" s="5"/>
      <c r="H26" s="2"/>
      <c r="I26" s="2"/>
      <c r="J26" s="2"/>
      <c r="K26" s="2"/>
      <c r="L26" s="2"/>
      <c r="M26" s="2"/>
    </row>
  </sheetData>
  <mergeCells count="7">
    <mergeCell ref="A2:L3"/>
    <mergeCell ref="M2:M3"/>
    <mergeCell ref="I6:I7"/>
    <mergeCell ref="H8:H9"/>
    <mergeCell ref="J8:J9"/>
    <mergeCell ref="B16:D16"/>
    <mergeCell ref="F16:G16"/>
  </mergeCells>
  <hyperlinks>
    <hyperlink display="HOME" location="HOME!A1" ref="I6"/>
    <hyperlink display="DATABASE" location="DATABASE!A1" ref="H8"/>
    <hyperlink display="KALENDER" location="KALENDER!A1" ref="J8"/>
    <hyperlink display="GRAPH" location="GRAPH!A1" ref="H11"/>
    <hyperlink display="MATA KULIAH" location="'MATA KULIAH'!A1" ref="J1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5.44"/>
    <col customWidth="1" min="3" max="3" width="15.78"/>
    <col customWidth="1" min="4" max="4" width="12.67"/>
    <col customWidth="1" min="7" max="7" width="14.11"/>
    <col customWidth="1" min="8" max="8" width="11.67"/>
    <col customWidth="1" min="9" max="9" width="11.22"/>
    <col customWidth="1" min="10" max="10" width="6.33"/>
    <col customWidth="1" min="11" max="11" width="6.44"/>
    <col customWidth="1" min="13" max="13" width="22.56"/>
    <col customWidth="1" min="14" max="14" width="14.0"/>
    <col customWidth="1" min="15" max="15" width="6.0"/>
    <col customWidth="1" min="16" max="16" width="5.22"/>
    <col customWidth="1" min="17" max="17" width="14.11"/>
  </cols>
  <sheetData>
    <row r="1">
      <c r="A1" s="31"/>
      <c r="B1" s="32"/>
      <c r="C1" s="33"/>
      <c r="D1" s="34" t="s">
        <v>2</v>
      </c>
      <c r="E1" s="33"/>
      <c r="F1" s="33"/>
      <c r="G1" s="35"/>
      <c r="H1" s="33"/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ht="30.75" customHeight="1">
      <c r="A2" s="36"/>
      <c r="B2" s="37"/>
      <c r="C2" s="38" t="s">
        <v>1</v>
      </c>
      <c r="D2" s="39"/>
      <c r="E2" s="40" t="s">
        <v>3</v>
      </c>
      <c r="F2" s="38" t="s">
        <v>5</v>
      </c>
      <c r="G2" s="38" t="s">
        <v>4</v>
      </c>
      <c r="H2" s="36"/>
      <c r="I2" s="36"/>
      <c r="J2" s="41"/>
      <c r="K2" s="41"/>
      <c r="L2" s="41"/>
      <c r="M2" s="36"/>
      <c r="N2" s="36"/>
      <c r="O2" s="41"/>
      <c r="P2" s="41"/>
      <c r="Q2" s="41"/>
      <c r="R2" s="41"/>
      <c r="S2" s="41"/>
      <c r="T2" s="41"/>
      <c r="U2" s="41"/>
      <c r="V2" s="36"/>
      <c r="W2" s="42"/>
      <c r="X2" s="42"/>
    </row>
    <row r="3">
      <c r="A3" s="41"/>
      <c r="B3" s="37"/>
      <c r="C3" s="36"/>
      <c r="D3" s="36"/>
      <c r="E3" s="36"/>
      <c r="F3" s="36"/>
      <c r="G3" s="43"/>
      <c r="H3" s="36"/>
      <c r="I3" s="36"/>
      <c r="J3" s="36"/>
      <c r="K3" s="36"/>
      <c r="L3" s="41"/>
      <c r="M3" s="41"/>
      <c r="N3" s="41"/>
      <c r="O3" s="36"/>
      <c r="P3" s="36"/>
      <c r="Q3" s="41"/>
      <c r="R3" s="41"/>
      <c r="S3" s="41"/>
      <c r="T3" s="41"/>
      <c r="U3" s="41"/>
      <c r="V3" s="41"/>
      <c r="W3" s="41"/>
      <c r="X3" s="36"/>
    </row>
    <row r="4">
      <c r="A4" s="36"/>
      <c r="B4" s="44" t="s">
        <v>8</v>
      </c>
      <c r="C4" s="45"/>
      <c r="D4" s="45"/>
      <c r="E4" s="45"/>
      <c r="F4" s="45"/>
      <c r="G4" s="45"/>
      <c r="H4" s="45"/>
      <c r="I4" s="46"/>
      <c r="J4" s="36"/>
      <c r="K4" s="36"/>
      <c r="L4" s="47" t="s">
        <v>9</v>
      </c>
      <c r="M4" s="45"/>
      <c r="N4" s="46"/>
      <c r="O4" s="36"/>
      <c r="P4" s="36"/>
      <c r="Q4" s="48" t="s">
        <v>10</v>
      </c>
      <c r="R4" s="45"/>
      <c r="S4" s="45"/>
      <c r="T4" s="45"/>
      <c r="U4" s="45"/>
      <c r="V4" s="45"/>
      <c r="W4" s="46"/>
      <c r="X4" s="41"/>
    </row>
    <row r="5">
      <c r="A5" s="36"/>
      <c r="B5" s="49"/>
      <c r="I5" s="50"/>
      <c r="J5" s="36"/>
      <c r="K5" s="36"/>
      <c r="L5" s="51"/>
      <c r="M5" s="52"/>
      <c r="N5" s="53"/>
      <c r="O5" s="36"/>
      <c r="P5" s="36"/>
      <c r="Q5" s="51"/>
      <c r="R5" s="52"/>
      <c r="S5" s="52"/>
      <c r="T5" s="52"/>
      <c r="U5" s="52"/>
      <c r="V5" s="52"/>
      <c r="W5" s="53"/>
      <c r="X5" s="36"/>
    </row>
    <row r="6">
      <c r="A6" s="36"/>
      <c r="B6" s="54" t="s">
        <v>11</v>
      </c>
      <c r="C6" s="55" t="s">
        <v>12</v>
      </c>
      <c r="D6" s="56" t="s">
        <v>13</v>
      </c>
      <c r="E6" s="57" t="s">
        <v>14</v>
      </c>
      <c r="F6" s="58" t="s">
        <v>15</v>
      </c>
      <c r="G6" s="59" t="s">
        <v>16</v>
      </c>
      <c r="H6" s="55" t="s">
        <v>17</v>
      </c>
      <c r="I6" s="57" t="s">
        <v>18</v>
      </c>
      <c r="J6" s="36"/>
      <c r="K6" s="36"/>
      <c r="L6" s="60" t="s">
        <v>19</v>
      </c>
      <c r="M6" s="61" t="s">
        <v>12</v>
      </c>
      <c r="N6" s="62" t="s">
        <v>20</v>
      </c>
      <c r="O6" s="36"/>
      <c r="P6" s="36"/>
      <c r="Q6" s="57" t="s">
        <v>12</v>
      </c>
      <c r="R6" s="58" t="s">
        <v>21</v>
      </c>
      <c r="S6" s="56" t="s">
        <v>22</v>
      </c>
      <c r="T6" s="57" t="s">
        <v>23</v>
      </c>
      <c r="U6" s="58" t="s">
        <v>24</v>
      </c>
      <c r="V6" s="56" t="s">
        <v>25</v>
      </c>
      <c r="W6" s="63" t="s">
        <v>26</v>
      </c>
      <c r="X6" s="36"/>
    </row>
    <row r="7">
      <c r="A7" s="36"/>
      <c r="B7" s="64" t="s">
        <v>27</v>
      </c>
      <c r="C7" s="65" t="s">
        <v>28</v>
      </c>
      <c r="D7" s="65">
        <v>2.0</v>
      </c>
      <c r="E7" s="65" t="s">
        <v>29</v>
      </c>
      <c r="F7" s="65" t="s">
        <v>30</v>
      </c>
      <c r="G7" s="66">
        <f>IF(
  COUNTIF(M4:M25, C7)=0,
  100,
  MAX(0,
    MIN(100,
      100 - (( (COUNTIFS(M4:M25, C7, N4:N25, "Izin")
               + COUNTIFS(M4:M25, C7, N4:N25, "Sakit")) 
             / COUNTIF(M4:M25, C7) ) * 20)
    )
  )
)</f>
        <v>100</v>
      </c>
      <c r="H7" s="65">
        <v>16.0</v>
      </c>
      <c r="I7" s="65">
        <v>14.0</v>
      </c>
      <c r="J7" s="36"/>
      <c r="K7" s="36"/>
      <c r="L7" s="67">
        <v>45992.0</v>
      </c>
      <c r="M7" s="65" t="s">
        <v>31</v>
      </c>
      <c r="N7" s="65" t="s">
        <v>32</v>
      </c>
      <c r="O7" s="36"/>
      <c r="P7" s="36"/>
      <c r="Q7" s="65" t="s">
        <v>28</v>
      </c>
      <c r="R7" s="65">
        <v>80.0</v>
      </c>
      <c r="S7" s="65">
        <v>90.0</v>
      </c>
      <c r="T7" s="65">
        <v>78.0</v>
      </c>
      <c r="U7" s="65">
        <v>90.0</v>
      </c>
      <c r="V7" s="65">
        <v>80.0</v>
      </c>
      <c r="W7" s="68"/>
      <c r="X7" s="36"/>
    </row>
    <row r="8">
      <c r="A8" s="36"/>
      <c r="B8" s="69"/>
      <c r="C8" s="65" t="s">
        <v>33</v>
      </c>
      <c r="D8" s="65">
        <v>3.0</v>
      </c>
      <c r="E8" s="65" t="s">
        <v>34</v>
      </c>
      <c r="F8" s="65" t="s">
        <v>35</v>
      </c>
      <c r="G8" s="66">
        <f>IF(
  COUNTIF(M4:M25, C8)=0,
  100,
  MAX(0,
    MIN(100,
      100 - (( (COUNTIFS(M4:M25, C8, N4:N25, "Izin")
               + COUNTIFS(M4:M25, C8, N4:N25, "Sakit")) 
             / COUNTIF(M4:M25, C8) ) * 20)
    )
  )
)</f>
        <v>80</v>
      </c>
      <c r="H8" s="65">
        <v>16.0</v>
      </c>
      <c r="I8" s="65">
        <v>14.0</v>
      </c>
      <c r="J8" s="36"/>
      <c r="K8" s="36"/>
      <c r="L8" s="67">
        <v>45993.0</v>
      </c>
      <c r="M8" s="65" t="s">
        <v>36</v>
      </c>
      <c r="N8" s="65" t="s">
        <v>37</v>
      </c>
      <c r="O8" s="36"/>
      <c r="P8" s="36"/>
      <c r="Q8" s="65" t="s">
        <v>33</v>
      </c>
      <c r="R8" s="65">
        <v>89.0</v>
      </c>
      <c r="S8" s="65">
        <v>78.0</v>
      </c>
      <c r="T8" s="65">
        <v>97.0</v>
      </c>
      <c r="U8" s="65">
        <v>70.0</v>
      </c>
      <c r="V8" s="65">
        <v>89.0</v>
      </c>
      <c r="W8" s="68"/>
      <c r="X8" s="36"/>
    </row>
    <row r="9" ht="18.75" customHeight="1">
      <c r="A9" s="36"/>
      <c r="B9" s="65" t="s">
        <v>38</v>
      </c>
      <c r="C9" s="65" t="s">
        <v>36</v>
      </c>
      <c r="D9" s="65">
        <v>2.0</v>
      </c>
      <c r="E9" s="65" t="s">
        <v>39</v>
      </c>
      <c r="F9" s="65" t="s">
        <v>30</v>
      </c>
      <c r="G9" s="66">
        <f>IF(
  COUNTIF(M4:M25, C9)=0,
  100,
  MAX(0,
    MIN(100,
      100 - (( (COUNTIFS(M4:M25, C9, N4:N25, "Izin")
               + COUNTIFS(M4:M25, C9, N4:N25, "Sakit")) 
             / COUNTIF(M4:M25, C9) ) * 20)
    )
  )
)</f>
        <v>80</v>
      </c>
      <c r="H9" s="65">
        <v>16.0</v>
      </c>
      <c r="I9" s="65">
        <v>14.0</v>
      </c>
      <c r="J9" s="36"/>
      <c r="K9" s="36"/>
      <c r="L9" s="67">
        <v>45994.0</v>
      </c>
      <c r="M9" s="65" t="s">
        <v>40</v>
      </c>
      <c r="N9" s="65" t="s">
        <v>41</v>
      </c>
      <c r="O9" s="36"/>
      <c r="P9" s="36"/>
      <c r="Q9" s="65" t="s">
        <v>36</v>
      </c>
      <c r="R9" s="65">
        <v>85.0</v>
      </c>
      <c r="S9" s="65">
        <v>89.0</v>
      </c>
      <c r="T9" s="65">
        <v>90.0</v>
      </c>
      <c r="U9" s="65">
        <v>87.0</v>
      </c>
      <c r="V9" s="65">
        <v>88.0</v>
      </c>
      <c r="W9" s="68"/>
      <c r="X9" s="36"/>
    </row>
    <row r="10">
      <c r="A10" s="36"/>
      <c r="B10" s="65" t="s">
        <v>38</v>
      </c>
      <c r="C10" s="65" t="s">
        <v>40</v>
      </c>
      <c r="D10" s="65">
        <v>3.0</v>
      </c>
      <c r="E10" s="65" t="s">
        <v>42</v>
      </c>
      <c r="F10" s="65" t="s">
        <v>43</v>
      </c>
      <c r="G10" s="66">
        <f>IF(
  COUNTIF(M4:M25, C10)=0,
  100,
  MAX(0,
    MIN(100,
      100 - (( (COUNTIFS(M4:M25, C10, N4:N25, "Izin")
               + COUNTIFS(M4:M25, C10, N4:N25, "Sakit")) 
             / COUNTIF(M4:M25, C10) ) * 10)
    )
  )
)</f>
        <v>100</v>
      </c>
      <c r="H10" s="65">
        <v>16.0</v>
      </c>
      <c r="I10" s="65">
        <v>14.0</v>
      </c>
      <c r="J10" s="36"/>
      <c r="K10" s="36"/>
      <c r="L10" s="70">
        <v>45995.0</v>
      </c>
      <c r="M10" s="65" t="s">
        <v>44</v>
      </c>
      <c r="N10" s="65" t="s">
        <v>32</v>
      </c>
      <c r="O10" s="36"/>
      <c r="P10" s="36"/>
      <c r="Q10" s="65" t="s">
        <v>40</v>
      </c>
      <c r="R10" s="65">
        <v>90.0</v>
      </c>
      <c r="S10" s="65">
        <v>90.0</v>
      </c>
      <c r="T10" s="65">
        <v>89.0</v>
      </c>
      <c r="U10" s="65">
        <v>88.0</v>
      </c>
      <c r="V10" s="65">
        <v>97.0</v>
      </c>
      <c r="W10" s="68"/>
      <c r="X10" s="36"/>
    </row>
    <row r="11">
      <c r="A11" s="36"/>
      <c r="B11" s="65" t="s">
        <v>45</v>
      </c>
      <c r="C11" s="65" t="s">
        <v>46</v>
      </c>
      <c r="D11" s="65">
        <v>3.0</v>
      </c>
      <c r="E11" s="65" t="s">
        <v>47</v>
      </c>
      <c r="F11" s="65" t="s">
        <v>48</v>
      </c>
      <c r="G11" s="66">
        <f>IF(
  COUNTIF(M4:M25, C11)=0,
  100,
  MAX(0,
    MIN(100,
      100 - (( (COUNTIFS(M4:M25, C11, N4:N25, "Izin")
               + COUNTIFS(M4:M25, C11, N4:N25, "Sakit")) 
             / COUNTIF(M4:M25, C11) ) * 20)
    )
  )
)</f>
        <v>100</v>
      </c>
      <c r="H11" s="65">
        <v>16.0</v>
      </c>
      <c r="I11" s="65">
        <v>14.0</v>
      </c>
      <c r="J11" s="36"/>
      <c r="K11" s="36"/>
      <c r="L11" s="70">
        <v>45996.0</v>
      </c>
      <c r="M11" s="65" t="s">
        <v>33</v>
      </c>
      <c r="N11" s="65" t="s">
        <v>37</v>
      </c>
      <c r="O11" s="36"/>
      <c r="P11" s="36"/>
      <c r="Q11" s="65" t="s">
        <v>31</v>
      </c>
      <c r="R11" s="65">
        <v>89.0</v>
      </c>
      <c r="S11" s="65">
        <v>70.0</v>
      </c>
      <c r="T11" s="65">
        <v>87.0</v>
      </c>
      <c r="U11" s="65">
        <v>89.0</v>
      </c>
      <c r="V11" s="65">
        <v>91.0</v>
      </c>
      <c r="W11" s="68"/>
      <c r="X11" s="36"/>
    </row>
    <row r="12" ht="29.25" customHeight="1">
      <c r="A12" s="36"/>
      <c r="B12" s="64" t="s">
        <v>49</v>
      </c>
      <c r="C12" s="65" t="s">
        <v>31</v>
      </c>
      <c r="D12" s="65">
        <v>3.0</v>
      </c>
      <c r="E12" s="65" t="s">
        <v>50</v>
      </c>
      <c r="F12" s="65" t="s">
        <v>35</v>
      </c>
      <c r="G12" s="66">
        <f>IF(
  COUNTIF(M4:M25, C12)=0,
  100,
  MAX(0,
    MIN(100,
      100 - (( (COUNTIFS(M4:M25, C12, N4:N25, "Izin")
               + COUNTIFS(M4:M25, C12, N4:N25, "Sakit")) 
             / COUNTIF(M4:M25, C12) ) * 20)
    )
  )
)</f>
        <v>80</v>
      </c>
      <c r="H12" s="65">
        <v>16.0</v>
      </c>
      <c r="I12" s="65">
        <v>14.0</v>
      </c>
      <c r="J12" s="36"/>
      <c r="K12" s="36"/>
      <c r="L12" s="70">
        <v>45997.0</v>
      </c>
      <c r="M12" s="65" t="s">
        <v>28</v>
      </c>
      <c r="N12" s="65" t="s">
        <v>41</v>
      </c>
      <c r="O12" s="36"/>
      <c r="P12" s="36"/>
      <c r="Q12" s="65" t="s">
        <v>44</v>
      </c>
      <c r="R12" s="65">
        <v>95.0</v>
      </c>
      <c r="S12" s="65">
        <v>78.0</v>
      </c>
      <c r="T12" s="65">
        <v>90.0</v>
      </c>
      <c r="U12" s="65">
        <v>90.0</v>
      </c>
      <c r="V12" s="65">
        <v>89.0</v>
      </c>
      <c r="W12" s="68"/>
      <c r="X12" s="36"/>
    </row>
    <row r="13" ht="19.5" customHeight="1">
      <c r="A13" s="36"/>
      <c r="B13" s="69"/>
      <c r="C13" s="65" t="s">
        <v>44</v>
      </c>
      <c r="D13" s="65">
        <v>3.0</v>
      </c>
      <c r="E13" s="65" t="s">
        <v>34</v>
      </c>
      <c r="F13" s="65" t="s">
        <v>43</v>
      </c>
      <c r="G13" s="66">
        <f>IF(
  COUNTIF(M4:M25, C13)=0,
  100,
  MAX(0,
    MIN(100,
      100 - (( (COUNTIFS(M4:M25, C13, N4:N25, "Izin")
               + COUNTIFS(M4:M25, C13, N4:N25, "Sakit")) 
             / COUNTIF(M4:M25, C13) ) * 20)
    )
  )
)</f>
        <v>80</v>
      </c>
      <c r="H13" s="65">
        <v>16.0</v>
      </c>
      <c r="I13" s="65">
        <v>14.0</v>
      </c>
      <c r="J13" s="36"/>
      <c r="K13" s="36"/>
      <c r="L13" s="71"/>
      <c r="M13" s="71"/>
      <c r="N13" s="71"/>
      <c r="O13" s="36"/>
      <c r="P13" s="36"/>
      <c r="Q13" s="65" t="s">
        <v>51</v>
      </c>
      <c r="R13" s="65">
        <v>90.0</v>
      </c>
      <c r="S13" s="65">
        <v>98.0</v>
      </c>
      <c r="T13" s="65">
        <v>86.0</v>
      </c>
      <c r="U13" s="65">
        <v>93.0</v>
      </c>
      <c r="V13" s="65">
        <v>94.0</v>
      </c>
      <c r="W13" s="68"/>
      <c r="X13" s="36"/>
    </row>
    <row r="14" ht="18.75" customHeight="1">
      <c r="A14" s="36"/>
      <c r="B14" s="65" t="s">
        <v>52</v>
      </c>
      <c r="C14" s="65" t="s">
        <v>51</v>
      </c>
      <c r="D14" s="65">
        <v>3.0</v>
      </c>
      <c r="E14" s="65" t="s">
        <v>42</v>
      </c>
      <c r="F14" s="65" t="s">
        <v>53</v>
      </c>
      <c r="G14" s="66" t="s">
        <v>54</v>
      </c>
      <c r="H14" s="65">
        <v>16.0</v>
      </c>
      <c r="I14" s="65">
        <v>14.0</v>
      </c>
      <c r="J14" s="36"/>
      <c r="K14" s="36"/>
      <c r="L14" s="71"/>
      <c r="M14" s="71"/>
      <c r="N14" s="71"/>
      <c r="O14" s="36"/>
      <c r="P14" s="36"/>
      <c r="Q14" s="41"/>
      <c r="R14" s="41"/>
      <c r="S14" s="41"/>
      <c r="T14" s="41"/>
      <c r="U14" s="41"/>
      <c r="V14" s="41"/>
      <c r="W14" s="41"/>
      <c r="X14" s="36"/>
    </row>
    <row r="15" ht="18.75" customHeight="1">
      <c r="A15" s="36"/>
      <c r="B15" s="37"/>
      <c r="C15" s="36"/>
      <c r="D15" s="36"/>
      <c r="E15" s="36"/>
      <c r="F15" s="36"/>
      <c r="G15" s="43"/>
      <c r="H15" s="36"/>
      <c r="I15" s="36"/>
      <c r="J15" s="36"/>
      <c r="K15" s="36"/>
      <c r="L15" s="71"/>
      <c r="M15" s="71"/>
      <c r="N15" s="71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 ht="18.0" customHeight="1">
      <c r="A16" s="36"/>
      <c r="B16" s="37"/>
      <c r="C16" s="36"/>
      <c r="D16" s="36"/>
      <c r="E16" s="36"/>
      <c r="F16" s="36"/>
      <c r="G16" s="43"/>
      <c r="H16" s="36"/>
      <c r="I16" s="36"/>
      <c r="J16" s="36"/>
      <c r="K16" s="36"/>
      <c r="L16" s="71"/>
      <c r="M16" s="71"/>
      <c r="N16" s="71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 ht="18.75" customHeight="1">
      <c r="A17" s="36"/>
      <c r="B17" s="37"/>
      <c r="C17" s="36"/>
      <c r="D17" s="36"/>
      <c r="E17" s="36"/>
      <c r="F17" s="36"/>
      <c r="G17" s="43"/>
      <c r="H17" s="36"/>
      <c r="I17" s="36"/>
      <c r="J17" s="36"/>
      <c r="K17" s="36"/>
      <c r="L17" s="71"/>
      <c r="M17" s="71"/>
      <c r="N17" s="71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ht="18.75" customHeight="1">
      <c r="A18" s="36"/>
      <c r="B18" s="37"/>
      <c r="C18" s="36"/>
      <c r="D18" s="36"/>
      <c r="E18" s="36"/>
      <c r="F18" s="36"/>
      <c r="G18" s="43"/>
      <c r="H18" s="36"/>
      <c r="I18" s="36"/>
      <c r="J18" s="36"/>
      <c r="K18" s="36"/>
      <c r="L18" s="71"/>
      <c r="M18" s="71"/>
      <c r="N18" s="71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ht="18.75" customHeight="1">
      <c r="A19" s="36"/>
      <c r="B19" s="37"/>
      <c r="C19" s="36"/>
      <c r="D19" s="36"/>
      <c r="E19" s="36"/>
      <c r="F19" s="36"/>
      <c r="G19" s="43"/>
      <c r="H19" s="36"/>
      <c r="I19" s="36"/>
      <c r="J19" s="36"/>
      <c r="K19" s="36"/>
      <c r="L19" s="71"/>
      <c r="M19" s="71"/>
      <c r="N19" s="71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ht="20.25" customHeight="1">
      <c r="A20" s="36"/>
      <c r="B20" s="37"/>
      <c r="C20" s="36"/>
      <c r="D20" s="36"/>
      <c r="E20" s="36"/>
      <c r="F20" s="36"/>
      <c r="G20" s="43"/>
      <c r="H20" s="36"/>
      <c r="I20" s="36"/>
      <c r="J20" s="36"/>
      <c r="K20" s="36"/>
      <c r="L20" s="71"/>
      <c r="M20" s="71"/>
      <c r="N20" s="71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ht="19.5" customHeight="1">
      <c r="A21" s="36"/>
      <c r="B21" s="37"/>
      <c r="C21" s="36"/>
      <c r="D21" s="36"/>
      <c r="E21" s="36"/>
      <c r="F21" s="36"/>
      <c r="G21" s="43"/>
      <c r="H21" s="36"/>
      <c r="I21" s="36"/>
      <c r="J21" s="36"/>
      <c r="K21" s="36"/>
      <c r="L21" s="71"/>
      <c r="M21" s="71"/>
      <c r="N21" s="71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ht="19.5" customHeight="1">
      <c r="A22" s="36"/>
      <c r="B22" s="37"/>
      <c r="C22" s="36"/>
      <c r="D22" s="36"/>
      <c r="E22" s="36"/>
      <c r="F22" s="36"/>
      <c r="G22" s="43"/>
      <c r="H22" s="36"/>
      <c r="I22" s="36"/>
      <c r="J22" s="36"/>
      <c r="K22" s="36"/>
      <c r="L22" s="71"/>
      <c r="M22" s="71"/>
      <c r="N22" s="71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>
      <c r="A23" s="36"/>
      <c r="B23" s="37"/>
      <c r="C23" s="36"/>
      <c r="D23" s="36"/>
      <c r="E23" s="36"/>
      <c r="F23" s="36"/>
      <c r="G23" s="43"/>
      <c r="H23" s="36"/>
      <c r="I23" s="36"/>
      <c r="J23" s="36"/>
      <c r="K23" s="36"/>
      <c r="L23" s="41"/>
      <c r="M23" s="41"/>
      <c r="N23" s="41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>
      <c r="A24" s="36"/>
      <c r="B24" s="37"/>
      <c r="C24" s="36"/>
      <c r="D24" s="36"/>
      <c r="E24" s="36"/>
      <c r="F24" s="36"/>
      <c r="G24" s="43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>
      <c r="A25" s="36"/>
      <c r="B25" s="37"/>
      <c r="C25" s="36"/>
      <c r="D25" s="36"/>
      <c r="E25" s="36"/>
      <c r="F25" s="36"/>
      <c r="G25" s="43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</sheetData>
  <mergeCells count="6">
    <mergeCell ref="D1:D2"/>
    <mergeCell ref="B4:I5"/>
    <mergeCell ref="L4:N5"/>
    <mergeCell ref="Q4:W5"/>
    <mergeCell ref="B7:B8"/>
    <mergeCell ref="B12:B13"/>
  </mergeCells>
  <dataValidations>
    <dataValidation type="list" allowBlank="1" showErrorMessage="1" sqref="N7 N9:N22">
      <formula1>"Izin,Sakit,Hadir"</formula1>
    </dataValidation>
    <dataValidation type="list" allowBlank="1" showErrorMessage="1" sqref="M7:M22">
      <formula1>"Literasi Digital,Matematika Diskrit,Pancasila,Pemograman Dasar,Praktikum,Arsitektur Komputer dan Sistem Operasi,Aljabar Matriks,Matematika Dasar"</formula1>
    </dataValidation>
    <dataValidation type="list" allowBlank="1" showErrorMessage="1" sqref="N8">
      <formula1>"Izin,Sakit,Hadir"</formula1>
    </dataValidation>
    <dataValidation type="custom" allowBlank="1" showDropDown="1" sqref="L7:L22">
      <formula1>OR(NOT(ISERROR(DATEVALUE(L7))), AND(ISNUMBER(L7), LEFT(CELL("format", L7))="D"))</formula1>
    </dataValidation>
  </dataValidations>
  <hyperlinks>
    <hyperlink display="DATABASE" location="DATABASE!A1" ref="D1"/>
    <hyperlink display="HOME" location="HOME!A1" ref="C2"/>
    <hyperlink display="KALENDER" location="KALENDER!A1" ref="E2"/>
    <hyperlink display="MATA KULIAH" location="'MATA KULIAH'!A1" ref="F2"/>
    <hyperlink display="GRAPH" location="GRAPH!A1" ref="G2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7" width="6.78"/>
    <col customWidth="1" min="8" max="10" width="9.0"/>
    <col customWidth="1" min="11" max="11" width="26.11"/>
    <col customWidth="1" min="12" max="12" width="22.11"/>
    <col customWidth="1" min="13" max="13" width="23.22"/>
    <col customWidth="1" min="14" max="14" width="25.89"/>
    <col customWidth="1" min="15" max="15" width="24.44"/>
    <col customWidth="1" min="16" max="18" width="10.0"/>
  </cols>
  <sheetData>
    <row r="1" ht="16.5" customHeight="1">
      <c r="A1" s="72"/>
      <c r="B1" s="72"/>
      <c r="C1" s="72"/>
      <c r="D1" s="72"/>
      <c r="E1" s="72"/>
      <c r="F1" s="72"/>
      <c r="G1" s="73" t="s">
        <v>3</v>
      </c>
      <c r="H1" s="74"/>
      <c r="I1" s="75"/>
      <c r="J1" s="75"/>
      <c r="K1" s="76"/>
      <c r="L1" s="77"/>
      <c r="M1" s="77"/>
      <c r="N1" s="77"/>
      <c r="O1" s="77"/>
      <c r="P1" s="78"/>
      <c r="Q1" s="79"/>
      <c r="R1" s="79"/>
    </row>
    <row r="2" ht="24.0" customHeight="1">
      <c r="A2" s="80"/>
      <c r="B2" s="80"/>
      <c r="C2" s="80"/>
      <c r="D2" s="81" t="s">
        <v>1</v>
      </c>
      <c r="E2" s="82" t="s">
        <v>2</v>
      </c>
      <c r="F2" s="83"/>
      <c r="G2" s="84"/>
      <c r="H2" s="85"/>
      <c r="I2" s="86" t="s">
        <v>5</v>
      </c>
      <c r="J2" s="83"/>
      <c r="K2" s="87" t="s">
        <v>4</v>
      </c>
      <c r="L2" s="88"/>
      <c r="M2" s="88"/>
      <c r="N2" s="88"/>
      <c r="O2" s="89"/>
      <c r="P2" s="90"/>
    </row>
    <row r="3" ht="24.0" customHeight="1">
      <c r="A3" s="80"/>
      <c r="B3" s="80"/>
      <c r="C3" s="80"/>
      <c r="D3" s="80"/>
      <c r="E3" s="80"/>
      <c r="F3" s="80"/>
      <c r="G3" s="80"/>
      <c r="H3" s="80"/>
      <c r="I3" s="88"/>
      <c r="J3" s="88"/>
      <c r="K3" s="88"/>
      <c r="L3" s="88"/>
      <c r="M3" s="88"/>
      <c r="N3" s="88"/>
      <c r="O3" s="88"/>
      <c r="P3" s="91"/>
      <c r="Q3" s="89"/>
      <c r="R3" s="89"/>
    </row>
    <row r="4" ht="27.75" customHeight="1">
      <c r="A4" s="80"/>
      <c r="B4" s="80"/>
      <c r="C4" s="80"/>
      <c r="D4" s="80"/>
      <c r="E4" s="80"/>
      <c r="F4" s="80"/>
      <c r="G4" s="80"/>
      <c r="H4" s="80"/>
      <c r="I4" s="92">
        <f>C23/C22</f>
        <v>0.9</v>
      </c>
      <c r="J4" s="93" t="str">
        <f>IFERROR(__xludf.DUMMYFUNCTION("SPARKLINE(I4,{""CHARTTYPE"",""BAR"";""MAX"",100%;""COLOR1"",""GREEN""})"),"")</f>
        <v/>
      </c>
      <c r="K4" s="17"/>
      <c r="L4" s="17"/>
      <c r="M4" s="17"/>
      <c r="N4" s="17"/>
      <c r="O4" s="17"/>
      <c r="P4" s="18"/>
      <c r="Q4" s="89"/>
      <c r="R4" s="89"/>
    </row>
    <row r="5" ht="24.0" customHeight="1">
      <c r="A5" s="80"/>
      <c r="B5" s="80"/>
      <c r="C5" s="80"/>
      <c r="D5" s="80"/>
      <c r="E5" s="80"/>
      <c r="F5" s="80"/>
      <c r="G5" s="80"/>
      <c r="H5" s="80"/>
      <c r="I5" s="88"/>
      <c r="J5" s="88"/>
      <c r="K5" s="88"/>
      <c r="L5" s="88"/>
      <c r="M5" s="88"/>
      <c r="N5" s="88"/>
      <c r="O5" s="88"/>
      <c r="P5" s="91"/>
      <c r="Q5" s="89"/>
      <c r="R5" s="89"/>
    </row>
    <row r="6" ht="34.5" customHeight="1">
      <c r="A6" s="94">
        <v>45996.0</v>
      </c>
      <c r="B6" s="17"/>
      <c r="C6" s="17"/>
      <c r="D6" s="17"/>
      <c r="E6" s="17"/>
      <c r="F6" s="17"/>
      <c r="G6" s="18"/>
      <c r="H6" s="80"/>
      <c r="I6" s="95" t="s">
        <v>55</v>
      </c>
      <c r="J6" s="96" t="s">
        <v>56</v>
      </c>
      <c r="K6" s="18"/>
      <c r="L6" s="95" t="s">
        <v>5</v>
      </c>
      <c r="M6" s="95" t="s">
        <v>57</v>
      </c>
      <c r="N6" s="95" t="s">
        <v>58</v>
      </c>
      <c r="O6" s="95" t="s">
        <v>59</v>
      </c>
      <c r="P6" s="97" t="s">
        <v>60</v>
      </c>
      <c r="Q6" s="89"/>
      <c r="R6" s="89"/>
    </row>
    <row r="7" ht="24.0" customHeight="1">
      <c r="A7" s="98" t="s">
        <v>61</v>
      </c>
      <c r="B7" s="98" t="s">
        <v>27</v>
      </c>
      <c r="C7" s="98" t="s">
        <v>38</v>
      </c>
      <c r="D7" s="98" t="s">
        <v>45</v>
      </c>
      <c r="E7" s="98" t="s">
        <v>49</v>
      </c>
      <c r="F7" s="98" t="s">
        <v>52</v>
      </c>
      <c r="G7" s="98" t="s">
        <v>62</v>
      </c>
      <c r="H7" s="99"/>
      <c r="I7" s="65">
        <v>1.0</v>
      </c>
      <c r="J7" s="100" t="b">
        <v>1</v>
      </c>
      <c r="K7" s="100" t="s">
        <v>63</v>
      </c>
      <c r="L7" s="65" t="s">
        <v>40</v>
      </c>
      <c r="M7" s="65" t="s">
        <v>64</v>
      </c>
      <c r="N7" s="65" t="s">
        <v>65</v>
      </c>
      <c r="O7" s="101">
        <v>45974.0</v>
      </c>
      <c r="P7" s="102">
        <f t="shared" ref="P7:P23" si="2">IF(ISBLANK(O7),"",O7-TODAY())</f>
        <v>-64</v>
      </c>
      <c r="Q7" s="88"/>
      <c r="R7" s="88"/>
    </row>
    <row r="8" ht="24.0" customHeight="1">
      <c r="A8" s="103">
        <f>$A6-WEEKDAY(A6)+1</f>
        <v>45991</v>
      </c>
      <c r="B8" s="103">
        <f t="shared" ref="B8:G8" si="1">A8+1</f>
        <v>45992</v>
      </c>
      <c r="C8" s="103">
        <f t="shared" si="1"/>
        <v>45993</v>
      </c>
      <c r="D8" s="103">
        <f t="shared" si="1"/>
        <v>45994</v>
      </c>
      <c r="E8" s="103">
        <f t="shared" si="1"/>
        <v>45995</v>
      </c>
      <c r="F8" s="103">
        <f t="shared" si="1"/>
        <v>45996</v>
      </c>
      <c r="G8" s="103">
        <f t="shared" si="1"/>
        <v>45997</v>
      </c>
      <c r="H8" s="104"/>
      <c r="I8" s="65">
        <v>2.0</v>
      </c>
      <c r="J8" s="100" t="b">
        <v>1</v>
      </c>
      <c r="K8" s="100" t="s">
        <v>66</v>
      </c>
      <c r="L8" s="65" t="s">
        <v>67</v>
      </c>
      <c r="M8" s="65" t="s">
        <v>64</v>
      </c>
      <c r="N8" s="65" t="s">
        <v>68</v>
      </c>
      <c r="O8" s="101">
        <v>45975.0</v>
      </c>
      <c r="P8" s="102">
        <f t="shared" si="2"/>
        <v>-63</v>
      </c>
      <c r="Q8" s="105"/>
      <c r="R8" s="105"/>
    </row>
    <row r="9" ht="24.0" customHeight="1">
      <c r="A9" s="69"/>
      <c r="B9" s="69"/>
      <c r="C9" s="69"/>
      <c r="D9" s="69"/>
      <c r="E9" s="69"/>
      <c r="F9" s="69"/>
      <c r="G9" s="69"/>
      <c r="H9" s="106"/>
      <c r="I9" s="65">
        <v>3.0</v>
      </c>
      <c r="J9" s="100" t="b">
        <v>1</v>
      </c>
      <c r="K9" s="100" t="s">
        <v>69</v>
      </c>
      <c r="L9" s="65" t="s">
        <v>51</v>
      </c>
      <c r="M9" s="65" t="s">
        <v>64</v>
      </c>
      <c r="N9" s="65" t="s">
        <v>65</v>
      </c>
      <c r="O9" s="101">
        <v>45976.0</v>
      </c>
      <c r="P9" s="102">
        <f t="shared" si="2"/>
        <v>-62</v>
      </c>
      <c r="Q9" s="105"/>
      <c r="R9" s="105"/>
    </row>
    <row r="10" ht="24.0" customHeight="1">
      <c r="A10" s="103">
        <f t="shared" ref="A10:G10" si="3">A8+7</f>
        <v>45998</v>
      </c>
      <c r="B10" s="103">
        <f t="shared" si="3"/>
        <v>45999</v>
      </c>
      <c r="C10" s="103">
        <f t="shared" si="3"/>
        <v>46000</v>
      </c>
      <c r="D10" s="103">
        <f t="shared" si="3"/>
        <v>46001</v>
      </c>
      <c r="E10" s="103">
        <f t="shared" si="3"/>
        <v>46002</v>
      </c>
      <c r="F10" s="103">
        <f t="shared" si="3"/>
        <v>46003</v>
      </c>
      <c r="G10" s="103">
        <f t="shared" si="3"/>
        <v>46004</v>
      </c>
      <c r="H10" s="104"/>
      <c r="I10" s="65">
        <v>4.0</v>
      </c>
      <c r="J10" s="100" t="b">
        <v>1</v>
      </c>
      <c r="K10" s="100" t="s">
        <v>70</v>
      </c>
      <c r="L10" s="65" t="s">
        <v>44</v>
      </c>
      <c r="M10" s="65" t="s">
        <v>64</v>
      </c>
      <c r="N10" s="65" t="s">
        <v>65</v>
      </c>
      <c r="O10" s="101">
        <v>45977.0</v>
      </c>
      <c r="P10" s="102">
        <f t="shared" si="2"/>
        <v>-61</v>
      </c>
      <c r="Q10" s="105"/>
      <c r="R10" s="105"/>
    </row>
    <row r="11" ht="24.0" customHeight="1">
      <c r="A11" s="69"/>
      <c r="B11" s="69"/>
      <c r="C11" s="69"/>
      <c r="D11" s="69"/>
      <c r="E11" s="69"/>
      <c r="F11" s="69"/>
      <c r="G11" s="69"/>
      <c r="H11" s="107"/>
      <c r="I11" s="65">
        <v>5.0</v>
      </c>
      <c r="J11" s="100" t="b">
        <v>1</v>
      </c>
      <c r="K11" s="100" t="s">
        <v>71</v>
      </c>
      <c r="L11" s="65" t="s">
        <v>40</v>
      </c>
      <c r="M11" s="65" t="s">
        <v>64</v>
      </c>
      <c r="N11" s="65" t="s">
        <v>72</v>
      </c>
      <c r="O11" s="101">
        <v>45978.0</v>
      </c>
      <c r="P11" s="102">
        <f t="shared" si="2"/>
        <v>-60</v>
      </c>
      <c r="Q11" s="105"/>
      <c r="R11" s="105"/>
    </row>
    <row r="12" ht="24.0" customHeight="1">
      <c r="A12" s="103">
        <f t="shared" ref="A12:G12" si="4">A10+7</f>
        <v>46005</v>
      </c>
      <c r="B12" s="103">
        <f t="shared" si="4"/>
        <v>46006</v>
      </c>
      <c r="C12" s="103">
        <f t="shared" si="4"/>
        <v>46007</v>
      </c>
      <c r="D12" s="103">
        <f t="shared" si="4"/>
        <v>46008</v>
      </c>
      <c r="E12" s="103">
        <f t="shared" si="4"/>
        <v>46009</v>
      </c>
      <c r="F12" s="103">
        <f t="shared" si="4"/>
        <v>46010</v>
      </c>
      <c r="G12" s="103">
        <f t="shared" si="4"/>
        <v>46011</v>
      </c>
      <c r="H12" s="104"/>
      <c r="I12" s="65">
        <v>6.0</v>
      </c>
      <c r="J12" s="100" t="b">
        <v>1</v>
      </c>
      <c r="K12" s="100" t="s">
        <v>73</v>
      </c>
      <c r="L12" s="65" t="s">
        <v>74</v>
      </c>
      <c r="M12" s="65" t="s">
        <v>64</v>
      </c>
      <c r="N12" s="65" t="s">
        <v>72</v>
      </c>
      <c r="O12" s="101">
        <v>46009.0</v>
      </c>
      <c r="P12" s="102">
        <f t="shared" si="2"/>
        <v>-29</v>
      </c>
      <c r="Q12" s="105"/>
      <c r="R12" s="105"/>
    </row>
    <row r="13" ht="24.0" customHeight="1">
      <c r="A13" s="69"/>
      <c r="B13" s="69"/>
      <c r="C13" s="69"/>
      <c r="D13" s="69"/>
      <c r="E13" s="69"/>
      <c r="F13" s="69"/>
      <c r="G13" s="69"/>
      <c r="H13" s="107"/>
      <c r="I13" s="65">
        <v>7.0</v>
      </c>
      <c r="J13" s="100" t="b">
        <v>1</v>
      </c>
      <c r="K13" s="100" t="s">
        <v>75</v>
      </c>
      <c r="L13" s="65" t="s">
        <v>51</v>
      </c>
      <c r="M13" s="65" t="s">
        <v>64</v>
      </c>
      <c r="N13" s="65" t="s">
        <v>68</v>
      </c>
      <c r="O13" s="101">
        <v>46009.0</v>
      </c>
      <c r="P13" s="102">
        <f t="shared" si="2"/>
        <v>-29</v>
      </c>
      <c r="Q13" s="105"/>
      <c r="R13" s="105"/>
    </row>
    <row r="14" ht="24.0" customHeight="1">
      <c r="A14" s="103">
        <f t="shared" ref="A14:G14" si="5">A12+7</f>
        <v>46012</v>
      </c>
      <c r="B14" s="103">
        <f t="shared" si="5"/>
        <v>46013</v>
      </c>
      <c r="C14" s="103">
        <f t="shared" si="5"/>
        <v>46014</v>
      </c>
      <c r="D14" s="103">
        <f t="shared" si="5"/>
        <v>46015</v>
      </c>
      <c r="E14" s="103">
        <f t="shared" si="5"/>
        <v>46016</v>
      </c>
      <c r="F14" s="103">
        <f t="shared" si="5"/>
        <v>46017</v>
      </c>
      <c r="G14" s="103">
        <f t="shared" si="5"/>
        <v>46018</v>
      </c>
      <c r="H14" s="104"/>
      <c r="I14" s="65">
        <v>8.0</v>
      </c>
      <c r="J14" s="100" t="b">
        <v>1</v>
      </c>
      <c r="K14" s="100" t="s">
        <v>76</v>
      </c>
      <c r="L14" s="65" t="s">
        <v>28</v>
      </c>
      <c r="M14" s="65" t="s">
        <v>64</v>
      </c>
      <c r="N14" s="65" t="s">
        <v>72</v>
      </c>
      <c r="O14" s="101">
        <v>45997.0</v>
      </c>
      <c r="P14" s="102">
        <f t="shared" si="2"/>
        <v>-41</v>
      </c>
      <c r="Q14" s="105"/>
      <c r="R14" s="105"/>
    </row>
    <row r="15" ht="24.0" customHeight="1">
      <c r="A15" s="69"/>
      <c r="B15" s="69"/>
      <c r="C15" s="69"/>
      <c r="D15" s="69"/>
      <c r="E15" s="69"/>
      <c r="F15" s="69"/>
      <c r="G15" s="69"/>
      <c r="H15" s="107"/>
      <c r="I15" s="65">
        <v>9.0</v>
      </c>
      <c r="J15" s="100" t="b">
        <v>1</v>
      </c>
      <c r="K15" s="100" t="s">
        <v>77</v>
      </c>
      <c r="L15" s="65" t="s">
        <v>40</v>
      </c>
      <c r="M15" s="65" t="s">
        <v>64</v>
      </c>
      <c r="N15" s="65" t="s">
        <v>72</v>
      </c>
      <c r="O15" s="101">
        <v>46004.0</v>
      </c>
      <c r="P15" s="102">
        <f t="shared" si="2"/>
        <v>-34</v>
      </c>
      <c r="Q15" s="105"/>
      <c r="R15" s="105"/>
    </row>
    <row r="16" ht="24.0" customHeight="1">
      <c r="A16" s="103">
        <f t="shared" ref="A16:G16" si="6">A14+7</f>
        <v>46019</v>
      </c>
      <c r="B16" s="103">
        <f t="shared" si="6"/>
        <v>46020</v>
      </c>
      <c r="C16" s="103">
        <f t="shared" si="6"/>
        <v>46021</v>
      </c>
      <c r="D16" s="103">
        <f t="shared" si="6"/>
        <v>46022</v>
      </c>
      <c r="E16" s="103">
        <f t="shared" si="6"/>
        <v>46023</v>
      </c>
      <c r="F16" s="103">
        <f t="shared" si="6"/>
        <v>46024</v>
      </c>
      <c r="G16" s="103">
        <f t="shared" si="6"/>
        <v>46025</v>
      </c>
      <c r="H16" s="104"/>
      <c r="I16" s="65">
        <v>10.0</v>
      </c>
      <c r="J16" s="100" t="b">
        <v>0</v>
      </c>
      <c r="K16" s="100" t="s">
        <v>78</v>
      </c>
      <c r="L16" s="65" t="s">
        <v>36</v>
      </c>
      <c r="M16" s="65" t="s">
        <v>79</v>
      </c>
      <c r="N16" s="65" t="s">
        <v>68</v>
      </c>
      <c r="O16" s="101">
        <v>45999.0</v>
      </c>
      <c r="P16" s="102">
        <f t="shared" si="2"/>
        <v>-39</v>
      </c>
      <c r="Q16" s="105"/>
      <c r="R16" s="105"/>
    </row>
    <row r="17" ht="24.0" customHeight="1">
      <c r="A17" s="69"/>
      <c r="B17" s="69"/>
      <c r="C17" s="69"/>
      <c r="D17" s="69"/>
      <c r="E17" s="69"/>
      <c r="F17" s="69"/>
      <c r="G17" s="69"/>
      <c r="H17" s="107"/>
      <c r="I17" s="65">
        <v>11.0</v>
      </c>
      <c r="J17" s="108" t="b">
        <v>0</v>
      </c>
      <c r="K17" s="108"/>
      <c r="L17" s="68"/>
      <c r="M17" s="68"/>
      <c r="N17" s="68"/>
      <c r="O17" s="68"/>
      <c r="P17" s="102" t="str">
        <f t="shared" si="2"/>
        <v/>
      </c>
      <c r="Q17" s="105"/>
      <c r="R17" s="105"/>
    </row>
    <row r="18" ht="24.0" customHeight="1">
      <c r="A18" s="103">
        <f t="shared" ref="A18:G18" si="7">A16+7</f>
        <v>46026</v>
      </c>
      <c r="B18" s="103">
        <f t="shared" si="7"/>
        <v>46027</v>
      </c>
      <c r="C18" s="103">
        <f t="shared" si="7"/>
        <v>46028</v>
      </c>
      <c r="D18" s="103">
        <f t="shared" si="7"/>
        <v>46029</v>
      </c>
      <c r="E18" s="103">
        <f t="shared" si="7"/>
        <v>46030</v>
      </c>
      <c r="F18" s="103">
        <f t="shared" si="7"/>
        <v>46031</v>
      </c>
      <c r="G18" s="103">
        <f t="shared" si="7"/>
        <v>46032</v>
      </c>
      <c r="H18" s="104"/>
      <c r="I18" s="65">
        <v>12.0</v>
      </c>
      <c r="J18" s="108" t="b">
        <v>0</v>
      </c>
      <c r="K18" s="108"/>
      <c r="L18" s="68"/>
      <c r="M18" s="68"/>
      <c r="N18" s="68"/>
      <c r="O18" s="68"/>
      <c r="P18" s="102" t="str">
        <f t="shared" si="2"/>
        <v/>
      </c>
      <c r="Q18" s="105"/>
      <c r="R18" s="105"/>
    </row>
    <row r="19" ht="24.0" customHeight="1">
      <c r="A19" s="69"/>
      <c r="B19" s="69"/>
      <c r="C19" s="69"/>
      <c r="D19" s="69"/>
      <c r="E19" s="69"/>
      <c r="F19" s="69"/>
      <c r="G19" s="69"/>
      <c r="H19" s="107"/>
      <c r="I19" s="65">
        <v>13.0</v>
      </c>
      <c r="J19" s="108" t="b">
        <v>0</v>
      </c>
      <c r="K19" s="108"/>
      <c r="L19" s="68"/>
      <c r="M19" s="68"/>
      <c r="N19" s="68"/>
      <c r="O19" s="68"/>
      <c r="P19" s="102" t="str">
        <f t="shared" si="2"/>
        <v/>
      </c>
      <c r="Q19" s="105"/>
      <c r="R19" s="105"/>
    </row>
    <row r="20" ht="31.5" customHeight="1">
      <c r="A20" s="107"/>
      <c r="B20" s="107"/>
      <c r="C20" s="107"/>
      <c r="D20" s="107"/>
      <c r="E20" s="107"/>
      <c r="F20" s="107"/>
      <c r="G20" s="107"/>
      <c r="H20" s="107"/>
      <c r="I20" s="65">
        <v>14.0</v>
      </c>
      <c r="J20" s="108" t="b">
        <v>0</v>
      </c>
      <c r="K20" s="108"/>
      <c r="L20" s="68"/>
      <c r="M20" s="68"/>
      <c r="N20" s="68"/>
      <c r="O20" s="68"/>
      <c r="P20" s="102" t="str">
        <f t="shared" si="2"/>
        <v/>
      </c>
      <c r="Q20" s="105"/>
      <c r="R20" s="105"/>
    </row>
    <row r="21" ht="31.5" customHeight="1">
      <c r="A21" s="109" t="s">
        <v>80</v>
      </c>
      <c r="B21" s="17"/>
      <c r="C21" s="17"/>
      <c r="D21" s="18"/>
      <c r="E21" s="107"/>
      <c r="F21" s="107"/>
      <c r="G21" s="107"/>
      <c r="H21" s="107"/>
      <c r="I21" s="65">
        <v>15.0</v>
      </c>
      <c r="J21" s="108" t="b">
        <v>0</v>
      </c>
      <c r="K21" s="108"/>
      <c r="L21" s="68"/>
      <c r="M21" s="68"/>
      <c r="N21" s="68"/>
      <c r="O21" s="68"/>
      <c r="P21" s="102" t="str">
        <f t="shared" si="2"/>
        <v/>
      </c>
      <c r="Q21" s="105"/>
      <c r="R21" s="105"/>
    </row>
    <row r="22" ht="31.5" customHeight="1">
      <c r="A22" s="110" t="s">
        <v>81</v>
      </c>
      <c r="B22" s="18"/>
      <c r="C22" s="111">
        <f>COUNTA(K7:K23)</f>
        <v>10</v>
      </c>
      <c r="D22" s="18"/>
      <c r="E22" s="107"/>
      <c r="F22" s="107"/>
      <c r="G22" s="107"/>
      <c r="H22" s="107"/>
      <c r="I22" s="65">
        <v>16.0</v>
      </c>
      <c r="J22" s="108" t="b">
        <v>0</v>
      </c>
      <c r="K22" s="108"/>
      <c r="L22" s="68"/>
      <c r="M22" s="68"/>
      <c r="N22" s="68"/>
      <c r="O22" s="68"/>
      <c r="P22" s="102" t="str">
        <f t="shared" si="2"/>
        <v/>
      </c>
      <c r="Q22" s="105"/>
      <c r="R22" s="105"/>
    </row>
    <row r="23" ht="31.5" customHeight="1">
      <c r="A23" s="110" t="s">
        <v>82</v>
      </c>
      <c r="B23" s="18"/>
      <c r="C23" s="111">
        <f>COUNTIF(J7:J23,TRUE)</f>
        <v>9</v>
      </c>
      <c r="D23" s="18"/>
      <c r="E23" s="107"/>
      <c r="F23" s="107"/>
      <c r="G23" s="107"/>
      <c r="H23" s="107"/>
      <c r="I23" s="65">
        <v>16.0</v>
      </c>
      <c r="J23" s="108" t="b">
        <v>0</v>
      </c>
      <c r="K23" s="108"/>
      <c r="L23" s="68"/>
      <c r="M23" s="68"/>
      <c r="N23" s="68"/>
      <c r="O23" s="68"/>
      <c r="P23" s="102" t="str">
        <f t="shared" si="2"/>
        <v/>
      </c>
      <c r="Q23" s="105"/>
      <c r="R23" s="105"/>
    </row>
    <row r="24" ht="31.5" customHeight="1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12"/>
      <c r="L24" s="112"/>
      <c r="M24" s="112"/>
      <c r="N24" s="112"/>
      <c r="O24" s="107"/>
      <c r="P24" s="113"/>
      <c r="Q24" s="107"/>
      <c r="R24" s="107"/>
    </row>
  </sheetData>
  <mergeCells count="53">
    <mergeCell ref="D8:D9"/>
    <mergeCell ref="E8:E9"/>
    <mergeCell ref="D10:D11"/>
    <mergeCell ref="E10:E11"/>
    <mergeCell ref="D12:D13"/>
    <mergeCell ref="E12:E13"/>
    <mergeCell ref="F8:F9"/>
    <mergeCell ref="G8:G9"/>
    <mergeCell ref="F10:F11"/>
    <mergeCell ref="G10:G11"/>
    <mergeCell ref="F12:F13"/>
    <mergeCell ref="G12:G13"/>
    <mergeCell ref="G1:H2"/>
    <mergeCell ref="E2:F2"/>
    <mergeCell ref="I2:J2"/>
    <mergeCell ref="J4:P4"/>
    <mergeCell ref="A6:G6"/>
    <mergeCell ref="J6:K6"/>
    <mergeCell ref="A8:A9"/>
    <mergeCell ref="A12:A13"/>
    <mergeCell ref="A14:A15"/>
    <mergeCell ref="B14:B15"/>
    <mergeCell ref="C14:C15"/>
    <mergeCell ref="D14:D15"/>
    <mergeCell ref="E14:E15"/>
    <mergeCell ref="F14:F15"/>
    <mergeCell ref="G14:G15"/>
    <mergeCell ref="B8:B9"/>
    <mergeCell ref="C8:C9"/>
    <mergeCell ref="A10:A11"/>
    <mergeCell ref="B10:B11"/>
    <mergeCell ref="C10:C11"/>
    <mergeCell ref="B12:B13"/>
    <mergeCell ref="C12:C13"/>
    <mergeCell ref="A16:A17"/>
    <mergeCell ref="B16:B17"/>
    <mergeCell ref="C16:C17"/>
    <mergeCell ref="D16:D17"/>
    <mergeCell ref="E16:E17"/>
    <mergeCell ref="F16:F17"/>
    <mergeCell ref="G16:G17"/>
    <mergeCell ref="A21:D21"/>
    <mergeCell ref="A22:B22"/>
    <mergeCell ref="C22:D22"/>
    <mergeCell ref="A23:B23"/>
    <mergeCell ref="C23:D23"/>
    <mergeCell ref="A18:A19"/>
    <mergeCell ref="B18:B19"/>
    <mergeCell ref="C18:C19"/>
    <mergeCell ref="D18:D19"/>
    <mergeCell ref="E18:E19"/>
    <mergeCell ref="F18:F19"/>
    <mergeCell ref="G18:G19"/>
  </mergeCells>
  <conditionalFormatting sqref="O7:O23">
    <cfRule type="expression" dxfId="3" priority="1">
      <formula>COUNTIF(J7,TRUE)</formula>
    </cfRule>
  </conditionalFormatting>
  <conditionalFormatting sqref="O7:O23">
    <cfRule type="notContainsBlanks" dxfId="4" priority="2">
      <formula>LEN(TRIM(O7))&gt;0</formula>
    </cfRule>
  </conditionalFormatting>
  <conditionalFormatting sqref="O7:O8">
    <cfRule type="notContainsBlanks" dxfId="4" priority="3">
      <formula>LEN(TRIM(O7))&gt;0</formula>
    </cfRule>
  </conditionalFormatting>
  <conditionalFormatting sqref="A8:G8 A12:G12 A14:G14 A16:F16 G16:G18 A18:F18">
    <cfRule type="expression" dxfId="5" priority="4">
      <formula>MONTH($A6)&lt;&gt;MONTH(A8)</formula>
    </cfRule>
  </conditionalFormatting>
  <conditionalFormatting sqref="A8:G19">
    <cfRule type="expression" dxfId="6" priority="5">
      <formula>A8=TODAY()</formula>
    </cfRule>
  </conditionalFormatting>
  <conditionalFormatting sqref="A8:G19">
    <cfRule type="expression" dxfId="7" priority="6">
      <formula>COUNTIF($O$8:$O24,TEXT(A8,"DDDD, D MMMM YYYY"))&gt;0</formula>
    </cfRule>
  </conditionalFormatting>
  <conditionalFormatting sqref="P7:P23">
    <cfRule type="expression" dxfId="3" priority="7">
      <formula>COUNTIF(J7,TRUE)</formula>
    </cfRule>
  </conditionalFormatting>
  <conditionalFormatting sqref="P7:P23">
    <cfRule type="cellIs" dxfId="8" priority="8" operator="lessThanOrEqual">
      <formula>1</formula>
    </cfRule>
  </conditionalFormatting>
  <conditionalFormatting sqref="K7:K23">
    <cfRule type="expression" dxfId="3" priority="9">
      <formula>COUNTIF(J7,TRUE)</formula>
    </cfRule>
  </conditionalFormatting>
  <conditionalFormatting sqref="L7:L23">
    <cfRule type="expression" dxfId="3" priority="10">
      <formula>COUNTIF(J7,TRUE)</formula>
    </cfRule>
  </conditionalFormatting>
  <conditionalFormatting sqref="M7:M23">
    <cfRule type="expression" dxfId="3" priority="11">
      <formula>COUNTIF(J7,TRUE)</formula>
    </cfRule>
  </conditionalFormatting>
  <conditionalFormatting sqref="N7:N23">
    <cfRule type="expression" dxfId="3" priority="12">
      <formula>COUNTIF(J7,TRUE)</formula>
    </cfRule>
  </conditionalFormatting>
  <conditionalFormatting sqref="J7:J23">
    <cfRule type="notContainsBlanks" dxfId="4" priority="13">
      <formula>LEN(TRIM(J7))&gt;0</formula>
    </cfRule>
  </conditionalFormatting>
  <conditionalFormatting sqref="A8:G19">
    <cfRule type="expression" dxfId="9" priority="14">
      <formula>COUNTIF($P$8:$P24,TEXT(A8,"DDDD, D MMMM YYYY"))&lt;0</formula>
    </cfRule>
  </conditionalFormatting>
  <conditionalFormatting sqref="H10">
    <cfRule type="notContainsBlanks" dxfId="4" priority="15">
      <formula>LEN(TRIM(H10))&gt;0</formula>
    </cfRule>
  </conditionalFormatting>
  <dataValidations>
    <dataValidation type="custom" allowBlank="1" showDropDown="1" showErrorMessage="1" sqref="O7:O23">
      <formula1>OR(NOT(ISERROR(DATEVALUE(O7))), AND(ISNUMBER(O7), LEFT(CELL("format", O7))="D"))</formula1>
    </dataValidation>
    <dataValidation type="list" allowBlank="1" showErrorMessage="1" sqref="N7:N23">
      <formula1>"Rendah,Sedang,Tinggi"</formula1>
    </dataValidation>
    <dataValidation type="list" allowBlank="1" showErrorMessage="1" sqref="M7:M23">
      <formula1>"Belum di mulai,Sudah selesai,Dikerjakan"</formula1>
    </dataValidation>
    <dataValidation type="list" allowBlank="1" showErrorMessage="1" sqref="L7:L23">
      <formula1>"Arsitektur Komputer,Literasi Digital,Matematika  Diskrit,Pemograman Dasar,Pancasila,Aljabar Matriks,Matematika Dasar,Non Akademik"</formula1>
    </dataValidation>
  </dataValidations>
  <hyperlinks>
    <hyperlink display="KALENDER" location="KALENDER!A1" ref="G1"/>
    <hyperlink display="HOME" location="HOME!A1" ref="D2"/>
    <hyperlink display="DATABASE" location="DATABASE!A1" ref="E2"/>
    <hyperlink display="MATA KULIAH" location="'MATA KULIAH'!A1" ref="I2"/>
    <hyperlink display="GRAPH" location="GRAPH!A1" ref="K2"/>
  </hyperlink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0.0"/>
    <col customWidth="1" min="2" max="2" width="14.89"/>
    <col customWidth="1" min="3" max="3" width="17.0"/>
    <col customWidth="1" min="5" max="5" width="10.67"/>
    <col customWidth="1" min="6" max="6" width="12.22"/>
    <col customWidth="1" min="7" max="7" width="14.67"/>
    <col customWidth="1" min="8" max="8" width="13.33"/>
    <col customWidth="1" min="9" max="9" width="10.33"/>
    <col customWidth="1" min="12" max="12" width="16.11"/>
    <col customWidth="1" min="13" max="13" width="14.78"/>
  </cols>
  <sheetData>
    <row r="1" ht="18.0" customHeight="1">
      <c r="A1" s="76"/>
      <c r="B1" s="114"/>
      <c r="C1" s="115"/>
      <c r="D1" s="115"/>
      <c r="E1" s="115"/>
      <c r="F1" s="116" t="s">
        <v>83</v>
      </c>
      <c r="G1" s="115"/>
      <c r="H1" s="115"/>
      <c r="I1" s="76"/>
      <c r="J1" s="76"/>
      <c r="K1" s="76"/>
      <c r="L1" s="76"/>
      <c r="M1" s="76"/>
      <c r="N1" s="76"/>
      <c r="O1" s="76"/>
    </row>
    <row r="2" ht="24.0" customHeight="1">
      <c r="A2" s="14"/>
      <c r="B2" s="117"/>
      <c r="C2" s="118" t="s">
        <v>1</v>
      </c>
      <c r="D2" s="118" t="s">
        <v>2</v>
      </c>
      <c r="E2" s="119" t="s">
        <v>3</v>
      </c>
      <c r="F2" s="39"/>
      <c r="G2" s="120" t="s">
        <v>4</v>
      </c>
      <c r="H2" s="14"/>
      <c r="I2" s="14"/>
      <c r="J2" s="14"/>
      <c r="K2" s="14"/>
      <c r="L2" s="14"/>
      <c r="M2" s="14"/>
      <c r="N2" s="14"/>
      <c r="O2" s="42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ht="27.0" customHeight="1">
      <c r="A4" s="121"/>
      <c r="B4" s="122" t="s">
        <v>84</v>
      </c>
      <c r="C4" s="45"/>
      <c r="D4" s="45"/>
      <c r="E4" s="46"/>
      <c r="F4" s="121"/>
      <c r="G4" s="123" t="s">
        <v>85</v>
      </c>
      <c r="H4" s="17"/>
      <c r="I4" s="17"/>
      <c r="J4" s="18"/>
      <c r="K4" s="121"/>
      <c r="L4" s="124" t="s">
        <v>86</v>
      </c>
    </row>
    <row r="5" ht="39.75" customHeight="1">
      <c r="A5" s="14"/>
      <c r="B5" s="125" t="s">
        <v>11</v>
      </c>
      <c r="C5" s="126" t="s">
        <v>12</v>
      </c>
      <c r="D5" s="127" t="s">
        <v>13</v>
      </c>
      <c r="E5" s="126"/>
      <c r="F5" s="14"/>
      <c r="G5" s="125" t="s">
        <v>11</v>
      </c>
      <c r="H5" s="126" t="s">
        <v>12</v>
      </c>
      <c r="I5" s="127" t="s">
        <v>13</v>
      </c>
      <c r="J5" s="126"/>
      <c r="K5" s="14"/>
      <c r="L5" s="125" t="s">
        <v>11</v>
      </c>
      <c r="M5" s="126" t="s">
        <v>12</v>
      </c>
      <c r="N5" s="127" t="s">
        <v>13</v>
      </c>
      <c r="O5" s="126"/>
    </row>
    <row r="6">
      <c r="A6" s="14"/>
      <c r="B6" s="65" t="s">
        <v>27</v>
      </c>
      <c r="C6" s="65" t="s">
        <v>28</v>
      </c>
      <c r="D6" s="65">
        <v>2.0</v>
      </c>
      <c r="E6" s="65" t="b">
        <v>1</v>
      </c>
      <c r="F6" s="14"/>
      <c r="G6" s="65"/>
      <c r="H6" s="65" t="s">
        <v>87</v>
      </c>
      <c r="I6" s="65">
        <v>2.0</v>
      </c>
      <c r="J6" s="65" t="b">
        <v>1</v>
      </c>
      <c r="K6" s="14"/>
      <c r="L6" s="65"/>
      <c r="M6" s="65" t="s">
        <v>88</v>
      </c>
      <c r="N6" s="65">
        <v>3.0</v>
      </c>
      <c r="O6" s="65" t="b">
        <v>0</v>
      </c>
    </row>
    <row r="7" ht="37.5" customHeight="1">
      <c r="A7" s="14"/>
      <c r="B7" s="65" t="s">
        <v>27</v>
      </c>
      <c r="C7" s="65" t="s">
        <v>33</v>
      </c>
      <c r="D7" s="65">
        <v>3.0</v>
      </c>
      <c r="E7" s="65" t="b">
        <v>1</v>
      </c>
      <c r="F7" s="14"/>
      <c r="G7" s="65"/>
      <c r="H7" s="65" t="s">
        <v>89</v>
      </c>
      <c r="I7" s="65">
        <v>2.0</v>
      </c>
      <c r="J7" s="65" t="b">
        <v>0</v>
      </c>
      <c r="K7" s="14"/>
      <c r="L7" s="65"/>
      <c r="M7" s="65" t="s">
        <v>90</v>
      </c>
      <c r="N7" s="65">
        <v>3.0</v>
      </c>
      <c r="O7" s="65" t="b">
        <v>0</v>
      </c>
    </row>
    <row r="8">
      <c r="A8" s="14"/>
      <c r="B8" s="65" t="s">
        <v>38</v>
      </c>
      <c r="C8" s="65" t="s">
        <v>36</v>
      </c>
      <c r="D8" s="65">
        <v>2.0</v>
      </c>
      <c r="E8" s="65" t="b">
        <v>1</v>
      </c>
      <c r="F8" s="14"/>
      <c r="G8" s="65"/>
      <c r="H8" s="65" t="s">
        <v>91</v>
      </c>
      <c r="I8" s="65">
        <v>3.0</v>
      </c>
      <c r="J8" s="65" t="b">
        <v>0</v>
      </c>
      <c r="K8" s="14"/>
      <c r="L8" s="65"/>
      <c r="M8" s="65" t="s">
        <v>92</v>
      </c>
      <c r="N8" s="65">
        <v>3.0</v>
      </c>
      <c r="O8" s="68" t="b">
        <v>0</v>
      </c>
    </row>
    <row r="9">
      <c r="A9" s="14"/>
      <c r="B9" s="65" t="s">
        <v>38</v>
      </c>
      <c r="C9" s="65" t="s">
        <v>40</v>
      </c>
      <c r="D9" s="65">
        <v>3.0</v>
      </c>
      <c r="E9" s="65" t="b">
        <v>1</v>
      </c>
      <c r="F9" s="14"/>
      <c r="G9" s="65"/>
      <c r="H9" s="65" t="s">
        <v>93</v>
      </c>
      <c r="I9" s="65">
        <v>3.0</v>
      </c>
      <c r="J9" s="65" t="b">
        <v>0</v>
      </c>
      <c r="K9" s="14"/>
      <c r="L9" s="65"/>
      <c r="M9" s="65" t="s">
        <v>94</v>
      </c>
      <c r="N9" s="65">
        <v>3.0</v>
      </c>
      <c r="O9" s="65" t="b">
        <v>0</v>
      </c>
    </row>
    <row r="10">
      <c r="A10" s="14"/>
      <c r="B10" s="65" t="s">
        <v>45</v>
      </c>
      <c r="C10" s="65" t="s">
        <v>46</v>
      </c>
      <c r="D10" s="65">
        <v>3.0</v>
      </c>
      <c r="E10" s="65" t="b">
        <v>1</v>
      </c>
      <c r="F10" s="14"/>
      <c r="G10" s="65"/>
      <c r="H10" s="65" t="s">
        <v>95</v>
      </c>
      <c r="I10" s="65">
        <v>3.0</v>
      </c>
      <c r="J10" s="65" t="b">
        <v>0</v>
      </c>
      <c r="K10" s="14"/>
      <c r="L10" s="65"/>
      <c r="M10" s="65" t="s">
        <v>96</v>
      </c>
      <c r="N10" s="65">
        <v>3.0</v>
      </c>
      <c r="O10" s="65" t="b">
        <v>0</v>
      </c>
    </row>
    <row r="11">
      <c r="A11" s="14"/>
      <c r="B11" s="65" t="s">
        <v>49</v>
      </c>
      <c r="C11" s="65" t="s">
        <v>31</v>
      </c>
      <c r="D11" s="65">
        <v>3.0</v>
      </c>
      <c r="E11" s="65" t="b">
        <v>1</v>
      </c>
      <c r="F11" s="14"/>
      <c r="G11" s="65"/>
      <c r="H11" s="65" t="s">
        <v>97</v>
      </c>
      <c r="I11" s="65">
        <v>3.0</v>
      </c>
      <c r="J11" s="65" t="b">
        <v>0</v>
      </c>
      <c r="K11" s="14"/>
      <c r="L11" s="65"/>
      <c r="M11" s="65" t="s">
        <v>98</v>
      </c>
      <c r="N11" s="65">
        <v>3.0</v>
      </c>
      <c r="O11" s="65" t="b">
        <v>0</v>
      </c>
    </row>
    <row r="12">
      <c r="A12" s="14"/>
      <c r="B12" s="65" t="s">
        <v>49</v>
      </c>
      <c r="C12" s="65" t="s">
        <v>44</v>
      </c>
      <c r="D12" s="65">
        <v>3.0</v>
      </c>
      <c r="E12" s="65" t="b">
        <v>1</v>
      </c>
      <c r="F12" s="14"/>
      <c r="G12" s="65"/>
      <c r="H12" s="65" t="s">
        <v>99</v>
      </c>
      <c r="I12" s="65">
        <v>2.0</v>
      </c>
      <c r="J12" s="65" t="b">
        <v>0</v>
      </c>
      <c r="K12" s="14"/>
      <c r="L12" s="65"/>
      <c r="M12" s="65" t="s">
        <v>100</v>
      </c>
      <c r="N12" s="65">
        <v>2.0</v>
      </c>
      <c r="O12" s="65" t="b">
        <v>0</v>
      </c>
    </row>
    <row r="13">
      <c r="A13" s="14"/>
      <c r="B13" s="65" t="s">
        <v>52</v>
      </c>
      <c r="C13" s="65" t="s">
        <v>51</v>
      </c>
      <c r="D13" s="65">
        <v>3.0</v>
      </c>
      <c r="E13" s="65" t="b">
        <v>1</v>
      </c>
      <c r="F13" s="14"/>
      <c r="G13" s="65"/>
      <c r="H13" s="65" t="s">
        <v>101</v>
      </c>
      <c r="I13" s="65">
        <v>2.0</v>
      </c>
      <c r="J13" s="65" t="b">
        <v>0</v>
      </c>
      <c r="K13" s="14"/>
      <c r="L13" s="65"/>
      <c r="M13" s="65" t="s">
        <v>102</v>
      </c>
      <c r="N13" s="65">
        <v>2.0</v>
      </c>
      <c r="O13" s="65" t="b">
        <v>0</v>
      </c>
    </row>
    <row r="14" ht="27.0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30.75" customHeight="1">
      <c r="A15" s="14"/>
      <c r="B15" s="123" t="s">
        <v>103</v>
      </c>
      <c r="C15" s="17"/>
      <c r="D15" s="17"/>
      <c r="E15" s="18"/>
      <c r="F15" s="14"/>
      <c r="G15" s="123" t="s">
        <v>104</v>
      </c>
      <c r="H15" s="17"/>
      <c r="I15" s="17"/>
      <c r="J15" s="18"/>
      <c r="K15" s="14"/>
      <c r="L15" s="124" t="s">
        <v>105</v>
      </c>
    </row>
    <row r="16" ht="25.5" customHeight="1">
      <c r="A16" s="14"/>
      <c r="B16" s="125" t="s">
        <v>11</v>
      </c>
      <c r="C16" s="126" t="s">
        <v>12</v>
      </c>
      <c r="D16" s="127" t="s">
        <v>13</v>
      </c>
      <c r="E16" s="126"/>
      <c r="F16" s="14"/>
      <c r="G16" s="125" t="s">
        <v>11</v>
      </c>
      <c r="H16" s="126" t="s">
        <v>12</v>
      </c>
      <c r="I16" s="127" t="s">
        <v>13</v>
      </c>
      <c r="J16" s="126"/>
      <c r="K16" s="14"/>
      <c r="L16" s="125" t="s">
        <v>11</v>
      </c>
      <c r="M16" s="126" t="s">
        <v>12</v>
      </c>
      <c r="N16" s="127" t="s">
        <v>13</v>
      </c>
      <c r="O16" s="126"/>
    </row>
    <row r="17" ht="25.5" customHeight="1">
      <c r="A17" s="14"/>
      <c r="B17" s="65"/>
      <c r="C17" s="65" t="s">
        <v>106</v>
      </c>
      <c r="D17" s="65">
        <v>2.0</v>
      </c>
      <c r="E17" s="65" t="b">
        <v>0</v>
      </c>
      <c r="F17" s="14"/>
      <c r="G17" s="65"/>
      <c r="H17" s="65" t="s">
        <v>107</v>
      </c>
      <c r="I17" s="65">
        <v>2.0</v>
      </c>
      <c r="J17" s="65" t="b">
        <v>0</v>
      </c>
      <c r="K17" s="14"/>
      <c r="L17" s="65"/>
      <c r="M17" s="65" t="s">
        <v>108</v>
      </c>
      <c r="N17" s="65">
        <v>3.0</v>
      </c>
      <c r="O17" s="65" t="b">
        <v>0</v>
      </c>
    </row>
    <row r="18" ht="39.0" customHeight="1">
      <c r="A18" s="14"/>
      <c r="B18" s="65"/>
      <c r="C18" s="65" t="s">
        <v>109</v>
      </c>
      <c r="D18" s="65">
        <v>3.0</v>
      </c>
      <c r="E18" s="65" t="b">
        <v>0</v>
      </c>
      <c r="F18" s="14"/>
      <c r="G18" s="65"/>
      <c r="H18" s="65" t="s">
        <v>110</v>
      </c>
      <c r="I18" s="65">
        <v>3.0</v>
      </c>
      <c r="J18" s="65" t="b">
        <v>0</v>
      </c>
      <c r="K18" s="14"/>
      <c r="L18" s="65"/>
      <c r="M18" s="65" t="s">
        <v>111</v>
      </c>
      <c r="N18" s="65">
        <v>3.0</v>
      </c>
      <c r="O18" s="65" t="b">
        <v>0</v>
      </c>
    </row>
    <row r="19">
      <c r="A19" s="14"/>
      <c r="B19" s="65"/>
      <c r="C19" s="65" t="s">
        <v>112</v>
      </c>
      <c r="D19" s="65">
        <v>3.0</v>
      </c>
      <c r="E19" s="65" t="b">
        <v>0</v>
      </c>
      <c r="F19" s="14"/>
      <c r="G19" s="65"/>
      <c r="H19" s="65" t="s">
        <v>113</v>
      </c>
      <c r="I19" s="65">
        <v>2.0</v>
      </c>
      <c r="J19" s="68" t="b">
        <v>0</v>
      </c>
      <c r="K19" s="14"/>
      <c r="L19" s="65"/>
      <c r="M19" s="65" t="s">
        <v>114</v>
      </c>
      <c r="N19" s="65">
        <v>2.0</v>
      </c>
      <c r="O19" s="128" t="b">
        <v>0</v>
      </c>
    </row>
    <row r="20" ht="31.5" customHeight="1">
      <c r="A20" s="14"/>
      <c r="B20" s="65"/>
      <c r="C20" s="65" t="s">
        <v>115</v>
      </c>
      <c r="D20" s="65">
        <v>3.0</v>
      </c>
      <c r="E20" s="65" t="b">
        <v>0</v>
      </c>
      <c r="F20" s="14"/>
      <c r="G20" s="65"/>
      <c r="H20" s="65" t="s">
        <v>116</v>
      </c>
      <c r="I20" s="65">
        <v>3.0</v>
      </c>
      <c r="J20" s="65" t="b">
        <v>0</v>
      </c>
      <c r="K20" s="14"/>
      <c r="L20" s="65"/>
      <c r="M20" s="65" t="s">
        <v>117</v>
      </c>
      <c r="N20" s="65">
        <v>2.0</v>
      </c>
      <c r="O20" s="65" t="b">
        <v>0</v>
      </c>
    </row>
    <row r="21" ht="34.5" customHeight="1">
      <c r="A21" s="14"/>
      <c r="B21" s="65"/>
      <c r="C21" s="65" t="s">
        <v>118</v>
      </c>
      <c r="D21" s="65">
        <v>3.0</v>
      </c>
      <c r="E21" s="65" t="b">
        <v>0</v>
      </c>
      <c r="F21" s="14"/>
      <c r="G21" s="65"/>
      <c r="H21" s="65" t="s">
        <v>119</v>
      </c>
      <c r="I21" s="65">
        <v>10.0</v>
      </c>
      <c r="J21" s="65" t="b">
        <v>0</v>
      </c>
      <c r="K21" s="14"/>
      <c r="L21" s="65"/>
      <c r="M21" s="65" t="s">
        <v>120</v>
      </c>
      <c r="N21" s="65">
        <v>10.0</v>
      </c>
      <c r="O21" s="65" t="b">
        <v>0</v>
      </c>
    </row>
    <row r="22" ht="24.0" customHeight="1">
      <c r="A22" s="14"/>
      <c r="B22" s="65"/>
      <c r="C22" s="65" t="s">
        <v>121</v>
      </c>
      <c r="D22" s="65">
        <v>3.0</v>
      </c>
      <c r="E22" s="65" t="b">
        <v>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>
      <c r="A23" s="14"/>
      <c r="B23" s="65"/>
      <c r="C23" s="65" t="s">
        <v>122</v>
      </c>
      <c r="D23" s="65">
        <v>3.0</v>
      </c>
      <c r="E23" s="65" t="b">
        <v>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>
      <c r="A24" s="14"/>
      <c r="B24" s="65"/>
      <c r="C24" s="65" t="s">
        <v>123</v>
      </c>
      <c r="D24" s="65">
        <v>2.0</v>
      </c>
      <c r="E24" s="65" t="b">
        <v>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9.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33.0" customHeight="1">
      <c r="A27" s="14"/>
      <c r="B27" s="123" t="s">
        <v>124</v>
      </c>
      <c r="C27" s="17"/>
      <c r="D27" s="17"/>
      <c r="E27" s="18"/>
      <c r="F27" s="14"/>
      <c r="G27" s="123" t="s">
        <v>125</v>
      </c>
      <c r="H27" s="17"/>
      <c r="I27" s="17"/>
      <c r="J27" s="18"/>
      <c r="K27" s="14"/>
      <c r="L27" s="14"/>
      <c r="M27" s="14"/>
      <c r="N27" s="14"/>
      <c r="O27" s="14"/>
    </row>
    <row r="28" ht="21.0" customHeight="1">
      <c r="A28" s="14"/>
      <c r="B28" s="125" t="s">
        <v>11</v>
      </c>
      <c r="C28" s="126" t="s">
        <v>12</v>
      </c>
      <c r="D28" s="127" t="s">
        <v>13</v>
      </c>
      <c r="E28" s="126"/>
      <c r="F28" s="14"/>
      <c r="G28" s="125" t="s">
        <v>11</v>
      </c>
      <c r="H28" s="126" t="s">
        <v>12</v>
      </c>
      <c r="I28" s="127" t="s">
        <v>13</v>
      </c>
      <c r="J28" s="126"/>
      <c r="K28" s="14"/>
      <c r="L28" s="14"/>
      <c r="M28" s="14"/>
      <c r="N28" s="14"/>
      <c r="O28" s="14"/>
    </row>
    <row r="29" ht="21.0" customHeight="1">
      <c r="A29" s="14"/>
      <c r="B29" s="65"/>
      <c r="C29" s="65" t="s">
        <v>126</v>
      </c>
      <c r="D29" s="65">
        <v>2.0</v>
      </c>
      <c r="E29" s="65" t="b">
        <v>0</v>
      </c>
      <c r="F29" s="14"/>
      <c r="G29" s="65"/>
      <c r="H29" s="65" t="s">
        <v>127</v>
      </c>
      <c r="I29" s="65">
        <v>4.0</v>
      </c>
      <c r="J29" s="65" t="b">
        <v>0</v>
      </c>
      <c r="K29" s="14"/>
      <c r="L29" s="14"/>
      <c r="M29" s="14"/>
      <c r="N29" s="14"/>
      <c r="O29" s="14"/>
    </row>
    <row r="30" ht="22.5" customHeight="1">
      <c r="A30" s="14"/>
      <c r="B30" s="65"/>
      <c r="C30" s="65" t="s">
        <v>128</v>
      </c>
      <c r="D30" s="65">
        <v>3.0</v>
      </c>
      <c r="E30" s="65" t="b">
        <v>0</v>
      </c>
      <c r="F30" s="14"/>
      <c r="G30" s="65"/>
      <c r="H30" s="65"/>
      <c r="I30" s="65"/>
      <c r="J30" s="65"/>
      <c r="K30" s="14"/>
      <c r="L30" s="14"/>
      <c r="M30" s="14"/>
      <c r="N30" s="14"/>
      <c r="O30" s="14"/>
    </row>
    <row r="31" ht="21.0" customHeight="1">
      <c r="A31" s="14"/>
      <c r="B31" s="65"/>
      <c r="C31" s="65" t="s">
        <v>129</v>
      </c>
      <c r="D31" s="65">
        <v>3.0</v>
      </c>
      <c r="E31" s="68" t="b">
        <v>0</v>
      </c>
      <c r="F31" s="14"/>
      <c r="G31" s="65"/>
      <c r="H31" s="65"/>
      <c r="I31" s="65"/>
      <c r="J31" s="68"/>
      <c r="K31" s="14"/>
      <c r="L31" s="14"/>
      <c r="M31" s="14"/>
      <c r="N31" s="14"/>
      <c r="O31" s="14"/>
    </row>
    <row r="32" ht="21.75" customHeight="1">
      <c r="A32" s="14"/>
      <c r="B32" s="65"/>
      <c r="C32" s="65" t="s">
        <v>130</v>
      </c>
      <c r="D32" s="65">
        <v>3.0</v>
      </c>
      <c r="E32" s="65" t="b">
        <v>0</v>
      </c>
      <c r="F32" s="14"/>
      <c r="G32" s="65"/>
      <c r="H32" s="65"/>
      <c r="I32" s="65"/>
      <c r="J32" s="65"/>
      <c r="K32" s="14"/>
      <c r="L32" s="14"/>
      <c r="M32" s="14"/>
      <c r="N32" s="14"/>
      <c r="O32" s="14"/>
    </row>
    <row r="33">
      <c r="A33" s="14"/>
      <c r="B33" s="65"/>
      <c r="C33" s="65" t="s">
        <v>131</v>
      </c>
      <c r="D33" s="65">
        <v>3.0</v>
      </c>
      <c r="E33" s="65" t="b">
        <v>0</v>
      </c>
      <c r="F33" s="14"/>
      <c r="G33" s="65"/>
      <c r="H33" s="65"/>
      <c r="I33" s="65"/>
      <c r="J33" s="65"/>
      <c r="K33" s="14"/>
      <c r="L33" s="14"/>
      <c r="M33" s="14"/>
      <c r="N33" s="14"/>
      <c r="O33" s="14"/>
    </row>
    <row r="34">
      <c r="A34" s="14"/>
      <c r="B34" s="65"/>
      <c r="C34" s="129" t="s">
        <v>132</v>
      </c>
      <c r="D34" s="129">
        <v>3.0</v>
      </c>
      <c r="E34" s="130" t="b">
        <v>0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</sheetData>
  <mergeCells count="9">
    <mergeCell ref="B27:E27"/>
    <mergeCell ref="G27:J27"/>
    <mergeCell ref="F1:F2"/>
    <mergeCell ref="B4:E4"/>
    <mergeCell ref="G4:J4"/>
    <mergeCell ref="L4:O4"/>
    <mergeCell ref="B15:E15"/>
    <mergeCell ref="G15:J15"/>
    <mergeCell ref="L15:O15"/>
  </mergeCells>
  <dataValidations>
    <dataValidation type="list" allowBlank="1" showErrorMessage="1" sqref="B6:B13 G6:G13 L6:L13 G17:G21 L17:L21 B17:B24 G29:G33 B29:B34">
      <formula1>"Jumat,Senin,Kamis,Selasa,Rabu"</formula1>
    </dataValidation>
  </dataValidations>
  <hyperlinks>
    <hyperlink display="MATA KULIAH " location="'MATA KULIAH'!A1" ref="F1"/>
    <hyperlink display="HOME" location="HOME!A1" ref="C2"/>
    <hyperlink display="DATABASE" location="DATABASE!A1" ref="D2"/>
    <hyperlink display="KALENDER" location="KALENDER!A1" ref="E2"/>
    <hyperlink display="GRAPH" location="GRAPH!A1" ref="G2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6" max="6" width="13.67"/>
    <col customWidth="1" min="7" max="7" width="12.33"/>
  </cols>
  <sheetData>
    <row r="1">
      <c r="A1" s="76"/>
      <c r="B1" s="76"/>
      <c r="C1" s="76"/>
      <c r="D1" s="76"/>
      <c r="E1" s="76"/>
      <c r="F1" s="76"/>
      <c r="G1" s="116" t="s">
        <v>4</v>
      </c>
      <c r="H1" s="76"/>
      <c r="I1" s="76"/>
      <c r="J1" s="76"/>
      <c r="K1" s="76"/>
      <c r="L1" s="76"/>
    </row>
    <row r="2" ht="24.75" customHeight="1">
      <c r="A2" s="14"/>
      <c r="B2" s="14"/>
      <c r="C2" s="118" t="s">
        <v>1</v>
      </c>
      <c r="D2" s="118" t="s">
        <v>2</v>
      </c>
      <c r="E2" s="118" t="s">
        <v>3</v>
      </c>
      <c r="F2" s="119" t="s">
        <v>5</v>
      </c>
      <c r="G2" s="39"/>
      <c r="H2" s="14"/>
      <c r="I2" s="14"/>
      <c r="J2" s="14"/>
      <c r="K2" s="14"/>
      <c r="L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</sheetData>
  <mergeCells count="1">
    <mergeCell ref="G1:G2"/>
  </mergeCells>
  <hyperlinks>
    <hyperlink display="GRAPH" location="GRAPH!A1" ref="G1"/>
    <hyperlink display="HOME" location="HOME!A1" ref="C2"/>
    <hyperlink display="DATABASE" location="DATABASE!A1" ref="D2"/>
    <hyperlink display="KALENDER" location="KALENDER!A1" ref="E2"/>
    <hyperlink display="MATA KULIAH" location="'MATA KULIAH'!A1" ref="F2"/>
  </hyperlinks>
  <drawing r:id="rId1"/>
</worksheet>
</file>